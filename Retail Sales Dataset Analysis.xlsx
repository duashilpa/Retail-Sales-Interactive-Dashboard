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5.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uash\Desktop\Excel for Data Analysis\"/>
    </mc:Choice>
  </mc:AlternateContent>
  <xr:revisionPtr revIDLastSave="0" documentId="8_{2BD57545-31CA-4458-B8A2-ED3533C6F1EF}" xr6:coauthVersionLast="47" xr6:coauthVersionMax="47" xr10:uidLastSave="{00000000-0000-0000-0000-000000000000}"/>
  <bookViews>
    <workbookView xWindow="-108" yWindow="-108" windowWidth="23256" windowHeight="12456" activeTab="7" xr2:uid="{338A34E8-6883-4CD2-B7B0-1DCF13722FF0}"/>
  </bookViews>
  <sheets>
    <sheet name="Dataset" sheetId="1" r:id="rId1"/>
    <sheet name="Analysis" sheetId="2" r:id="rId2"/>
    <sheet name="Product vs Revenue" sheetId="3" state="hidden" r:id="rId3"/>
    <sheet name="Category vs Revenue" sheetId="4" state="hidden" r:id="rId4"/>
    <sheet name="Region vs Revenue" sheetId="6" state="hidden" r:id="rId5"/>
    <sheet name="Channel vs Revenue" sheetId="7" state="hidden" r:id="rId6"/>
    <sheet name="Monthly Revenue" sheetId="11" state="hidden" r:id="rId7"/>
    <sheet name="Dashboard" sheetId="9" r:id="rId8"/>
  </sheets>
  <definedNames>
    <definedName name="NativeTimeline_Month">#N/A</definedName>
    <definedName name="Slicer_Category">#N/A</definedName>
    <definedName name="Slicer_Channel">#N/A</definedName>
    <definedName name="Slicer_Product">#N/A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2" l="1"/>
  <c r="B37" i="2" s="1"/>
  <c r="B20" i="2"/>
  <c r="B21" i="2"/>
  <c r="B22" i="2"/>
  <c r="B23" i="2"/>
  <c r="B24" i="2"/>
  <c r="B25" i="2"/>
  <c r="B26" i="2"/>
  <c r="B27" i="2"/>
  <c r="B28" i="2"/>
  <c r="B29" i="2"/>
  <c r="B30" i="2"/>
  <c r="B31" i="2"/>
  <c r="B32" i="2"/>
  <c r="B33" i="2"/>
  <c r="B34" i="2"/>
  <c r="B35" i="2"/>
  <c r="B36" i="2"/>
  <c r="B14" i="2"/>
  <c r="B12" i="2"/>
  <c r="B9" i="2"/>
  <c r="B8" i="2"/>
  <c r="B7" i="2"/>
  <c r="B6" i="2"/>
</calcChain>
</file>

<file path=xl/sharedStrings.xml><?xml version="1.0" encoding="utf-8"?>
<sst xmlns="http://schemas.openxmlformats.org/spreadsheetml/2006/main" count="2644" uniqueCount="488">
  <si>
    <t>Order ID</t>
  </si>
  <si>
    <t>Date</t>
  </si>
  <si>
    <t>Product</t>
  </si>
  <si>
    <t>Region</t>
  </si>
  <si>
    <t>Channel</t>
  </si>
  <si>
    <t>Salesperson</t>
  </si>
  <si>
    <t>Quantity</t>
  </si>
  <si>
    <t>Category</t>
  </si>
  <si>
    <t>Unit Price</t>
  </si>
  <si>
    <t>Discount %</t>
  </si>
  <si>
    <t>Revenue</t>
  </si>
  <si>
    <t>Month</t>
  </si>
  <si>
    <t>ORD-0175</t>
  </si>
  <si>
    <t>Tablet</t>
  </si>
  <si>
    <t>West</t>
  </si>
  <si>
    <t>Online</t>
  </si>
  <si>
    <t>Diya</t>
  </si>
  <si>
    <t>Electronics</t>
  </si>
  <si>
    <t>ORD-0183</t>
  </si>
  <si>
    <t>Desk</t>
  </si>
  <si>
    <t>North</t>
  </si>
  <si>
    <t>Store</t>
  </si>
  <si>
    <t>Aarav</t>
  </si>
  <si>
    <t>Furniture</t>
  </si>
  <si>
    <t>ORD-0116</t>
  </si>
  <si>
    <t>Headphones</t>
  </si>
  <si>
    <t>Rohan</t>
  </si>
  <si>
    <t>Accessories</t>
  </si>
  <si>
    <t>ORD-0024</t>
  </si>
  <si>
    <t>East</t>
  </si>
  <si>
    <t>Kabir</t>
  </si>
  <si>
    <t>ORD-0327</t>
  </si>
  <si>
    <t>Keyboard</t>
  </si>
  <si>
    <t>Anaya</t>
  </si>
  <si>
    <t>ORD-0091</t>
  </si>
  <si>
    <t>ORD-0030</t>
  </si>
  <si>
    <t>Office Chair</t>
  </si>
  <si>
    <t>ORD-0170</t>
  </si>
  <si>
    <t>Laptop</t>
  </si>
  <si>
    <t>ORD-0171</t>
  </si>
  <si>
    <t>ORD-0346</t>
  </si>
  <si>
    <t>ORD-0414</t>
  </si>
  <si>
    <t>Monitor</t>
  </si>
  <si>
    <t>Meera</t>
  </si>
  <si>
    <t>ORD-0293</t>
  </si>
  <si>
    <t>ORD-0011</t>
  </si>
  <si>
    <t>Mouse</t>
  </si>
  <si>
    <t>South</t>
  </si>
  <si>
    <t>ORD-0328</t>
  </si>
  <si>
    <t>ORD-0049</t>
  </si>
  <si>
    <t>ORD-0099</t>
  </si>
  <si>
    <t>ORD-0136</t>
  </si>
  <si>
    <t>ORD-0182</t>
  </si>
  <si>
    <t>ORD-0395</t>
  </si>
  <si>
    <t>ORD-0375</t>
  </si>
  <si>
    <t>ORD-0034</t>
  </si>
  <si>
    <t>ORD-0152</t>
  </si>
  <si>
    <t>ORD-0350</t>
  </si>
  <si>
    <t>ORD-0333</t>
  </si>
  <si>
    <t>ORD-0016</t>
  </si>
  <si>
    <t>ORD-0007</t>
  </si>
  <si>
    <t>ORD-0151</t>
  </si>
  <si>
    <t>ORD-0342</t>
  </si>
  <si>
    <t>ORD-0021</t>
  </si>
  <si>
    <t>ORD-0240</t>
  </si>
  <si>
    <t>ORD-0044</t>
  </si>
  <si>
    <t>ORD-0202</t>
  </si>
  <si>
    <t>ORD-0308</t>
  </si>
  <si>
    <t>ORD-0358</t>
  </si>
  <si>
    <t>ORD-0070</t>
  </si>
  <si>
    <t>ORD-0012</t>
  </si>
  <si>
    <t>ORD-0337</t>
  </si>
  <si>
    <t>ORD-0060</t>
  </si>
  <si>
    <t>ORD-0025</t>
  </si>
  <si>
    <t>ORD-0181</t>
  </si>
  <si>
    <t>ORD-0387</t>
  </si>
  <si>
    <t>ORD-0385</t>
  </si>
  <si>
    <t>ORD-0351</t>
  </si>
  <si>
    <t>ORD-0028</t>
  </si>
  <si>
    <t>ORD-0391</t>
  </si>
  <si>
    <t>ORD-0302</t>
  </si>
  <si>
    <t>ORD-0103</t>
  </si>
  <si>
    <t>ORD-0120</t>
  </si>
  <si>
    <t>ORD-0341</t>
  </si>
  <si>
    <t>ORD-0309</t>
  </si>
  <si>
    <t>ORD-0033</t>
  </si>
  <si>
    <t>ORD-0208</t>
  </si>
  <si>
    <t>ORD-0388</t>
  </si>
  <si>
    <t>ORD-0119</t>
  </si>
  <si>
    <t>ORD-0287</t>
  </si>
  <si>
    <t>ORD-0371</t>
  </si>
  <si>
    <t>ORD-0185</t>
  </si>
  <si>
    <t>ORD-0054</t>
  </si>
  <si>
    <t>ORD-0139</t>
  </si>
  <si>
    <t>ORD-0166</t>
  </si>
  <si>
    <t>ORD-0274</t>
  </si>
  <si>
    <t>ORD-0296</t>
  </si>
  <si>
    <t>ORD-0123</t>
  </si>
  <si>
    <t>ORD-0369</t>
  </si>
  <si>
    <t>ORD-0219</t>
  </si>
  <si>
    <t>ORD-0255</t>
  </si>
  <si>
    <t>ORD-0130</t>
  </si>
  <si>
    <t>ORD-0288</t>
  </si>
  <si>
    <t>ORD-0233</t>
  </si>
  <si>
    <t>ORD-0260</t>
  </si>
  <si>
    <t>ORD-0378</t>
  </si>
  <si>
    <t>ORD-0295</t>
  </si>
  <si>
    <t>ORD-0178</t>
  </si>
  <si>
    <t>ORD-0078</t>
  </si>
  <si>
    <t>ORD-0104</t>
  </si>
  <si>
    <t>ORD-0235</t>
  </si>
  <si>
    <t>ORD-0347</t>
  </si>
  <si>
    <t>ORD-0035</t>
  </si>
  <si>
    <t>ORD-0222</t>
  </si>
  <si>
    <t>ORD-0316</t>
  </si>
  <si>
    <t>ORD-0313</t>
  </si>
  <si>
    <t>ORD-0382</t>
  </si>
  <si>
    <t>ORD-0354</t>
  </si>
  <si>
    <t>ORD-0197</t>
  </si>
  <si>
    <t>ORD-0363</t>
  </si>
  <si>
    <t>ORD-0243</t>
  </si>
  <si>
    <t>ORD-0325</t>
  </si>
  <si>
    <t>ORD-0131</t>
  </si>
  <si>
    <t>ORD-0320</t>
  </si>
  <si>
    <t>ORD-0356</t>
  </si>
  <si>
    <t>ORD-0058</t>
  </si>
  <si>
    <t>ORD-0189</t>
  </si>
  <si>
    <t>ORD-0410</t>
  </si>
  <si>
    <t>ORD-0206</t>
  </si>
  <si>
    <t>ORD-0144</t>
  </si>
  <si>
    <t>ORD-0226</t>
  </si>
  <si>
    <t>ORD-0245</t>
  </si>
  <si>
    <t>ORD-0165</t>
  </si>
  <si>
    <t>ORD-0096</t>
  </si>
  <si>
    <t>ORD-0282</t>
  </si>
  <si>
    <t>ORD-0121</t>
  </si>
  <si>
    <t>ORD-0336</t>
  </si>
  <si>
    <t>ORD-0292</t>
  </si>
  <si>
    <t>ORD-0209</t>
  </si>
  <si>
    <t>ORD-0174</t>
  </si>
  <si>
    <t>ORD-0176</t>
  </si>
  <si>
    <t>ORD-0067</t>
  </si>
  <si>
    <t>ORD-0315</t>
  </si>
  <si>
    <t>ORD-0137</t>
  </si>
  <si>
    <t>ORD-0053</t>
  </si>
  <si>
    <t>ORD-0210</t>
  </si>
  <si>
    <t>ORD-0047</t>
  </si>
  <si>
    <t>ORD-0002</t>
  </si>
  <si>
    <t>ORD-0411</t>
  </si>
  <si>
    <t>ORD-0051</t>
  </si>
  <si>
    <t>ORD-0365</t>
  </si>
  <si>
    <t>ORD-0374</t>
  </si>
  <si>
    <t>ORD-0142</t>
  </si>
  <si>
    <t>ORD-0355</t>
  </si>
  <si>
    <t>ORD-0187</t>
  </si>
  <si>
    <t>ORD-0194</t>
  </si>
  <si>
    <t>ORD-0092</t>
  </si>
  <si>
    <t>ORD-0299</t>
  </si>
  <si>
    <t>ORD-0186</t>
  </si>
  <si>
    <t>ORD-0238</t>
  </si>
  <si>
    <t>ORD-0417</t>
  </si>
  <si>
    <t>ORD-0196</t>
  </si>
  <si>
    <t>ORD-0241</t>
  </si>
  <si>
    <t>ORD-0162</t>
  </si>
  <si>
    <t>ORD-0155</t>
  </si>
  <si>
    <t>ORD-0015</t>
  </si>
  <si>
    <t>ORD-0173</t>
  </si>
  <si>
    <t>ORD-0023</t>
  </si>
  <si>
    <t>ORD-0389</t>
  </si>
  <si>
    <t>ORD-0107</t>
  </si>
  <si>
    <t>ORD-0184</t>
  </si>
  <si>
    <t>ORD-0394</t>
  </si>
  <si>
    <t>ORD-0158</t>
  </si>
  <si>
    <t>ORD-0307</t>
  </si>
  <si>
    <t>ORD-0145</t>
  </si>
  <si>
    <t>ORD-0368</t>
  </si>
  <si>
    <t>ORD-0379</t>
  </si>
  <si>
    <t>ORD-0039</t>
  </si>
  <si>
    <t>ORD-0134</t>
  </si>
  <si>
    <t>ORD-0066</t>
  </si>
  <si>
    <t>ORD-0357</t>
  </si>
  <si>
    <t>ORD-0252</t>
  </si>
  <si>
    <t>ORD-0239</t>
  </si>
  <si>
    <t>ORD-0364</t>
  </si>
  <si>
    <t>ORD-0065</t>
  </si>
  <si>
    <t>ORD-0311</t>
  </si>
  <si>
    <t>ORD-0211</t>
  </si>
  <si>
    <t>ORD-0083</t>
  </si>
  <si>
    <t>ORD-0272</t>
  </si>
  <si>
    <t>ORD-0317</t>
  </si>
  <si>
    <t>ORD-0403</t>
  </si>
  <si>
    <t>ORD-0063</t>
  </si>
  <si>
    <t>ORD-0284</t>
  </si>
  <si>
    <t>ORD-0159</t>
  </si>
  <si>
    <t>ORD-0074</t>
  </si>
  <si>
    <t>ORD-0229</t>
  </si>
  <si>
    <t>ORD-0177</t>
  </si>
  <si>
    <t>ORD-0052</t>
  </si>
  <si>
    <t>ORD-0254</t>
  </si>
  <si>
    <t>ORD-0212</t>
  </si>
  <si>
    <t>ORD-0361</t>
  </si>
  <si>
    <t>ORD-0095</t>
  </si>
  <si>
    <t>ORD-0275</t>
  </si>
  <si>
    <t>ORD-0259</t>
  </si>
  <si>
    <t>ORD-0068</t>
  </si>
  <si>
    <t>ORD-0324</t>
  </si>
  <si>
    <t>ORD-0043</t>
  </si>
  <si>
    <t>ORD-0019</t>
  </si>
  <si>
    <t>ORD-0108</t>
  </si>
  <si>
    <t>ORD-0122</t>
  </si>
  <si>
    <t>ORD-0112</t>
  </si>
  <si>
    <t>ORD-0223</t>
  </si>
  <si>
    <t>ORD-0318</t>
  </si>
  <si>
    <t>ORD-0018</t>
  </si>
  <si>
    <t>ORD-0376</t>
  </si>
  <si>
    <t>ORD-0001</t>
  </si>
  <si>
    <t>ORD-0071</t>
  </si>
  <si>
    <t>ORD-0218</t>
  </si>
  <si>
    <t>ORD-0082</t>
  </si>
  <si>
    <t>ORD-0231</t>
  </si>
  <si>
    <t>ORD-0073</t>
  </si>
  <si>
    <t>ORD-0110</t>
  </si>
  <si>
    <t>ORD-0334</t>
  </si>
  <si>
    <t>ORD-0163</t>
  </si>
  <si>
    <t>ORD-0089</t>
  </si>
  <si>
    <t>ORD-0276</t>
  </si>
  <si>
    <t>ORD-0261</t>
  </si>
  <si>
    <t>ORD-0097</t>
  </si>
  <si>
    <t>ORD-0236</t>
  </si>
  <si>
    <t>ORD-0344</t>
  </si>
  <si>
    <t>ORD-0262</t>
  </si>
  <si>
    <t>ORD-0213</t>
  </si>
  <si>
    <t>ORD-0014</t>
  </si>
  <si>
    <t>ORD-0232</t>
  </si>
  <si>
    <t>ORD-0335</t>
  </si>
  <si>
    <t>ORD-0227</t>
  </si>
  <si>
    <t>ORD-0273</t>
  </si>
  <si>
    <t>ORD-0225</t>
  </si>
  <si>
    <t>ORD-0322</t>
  </si>
  <si>
    <t>ORD-0118</t>
  </si>
  <si>
    <t>ORD-0041</t>
  </si>
  <si>
    <t>ORD-0161</t>
  </si>
  <si>
    <t>ORD-0017</t>
  </si>
  <si>
    <t>ORD-0244</t>
  </si>
  <si>
    <t>ORD-0390</t>
  </si>
  <si>
    <t>ORD-0247</t>
  </si>
  <si>
    <t>ORD-0006</t>
  </si>
  <si>
    <t>ORD-0075</t>
  </si>
  <si>
    <t>ORD-0359</t>
  </si>
  <si>
    <t>ORD-0349</t>
  </si>
  <si>
    <t>ORD-0294</t>
  </si>
  <si>
    <t>ORD-0393</t>
  </si>
  <si>
    <t>ORD-0396</t>
  </si>
  <si>
    <t>ORD-0088</t>
  </si>
  <si>
    <t>ORD-0160</t>
  </si>
  <si>
    <t>ORD-0114</t>
  </si>
  <si>
    <t>ORD-0027</t>
  </si>
  <si>
    <t>ORD-0032</t>
  </si>
  <si>
    <t>ORD-0221</t>
  </si>
  <si>
    <t>ORD-0330</t>
  </si>
  <si>
    <t>ORD-0061</t>
  </si>
  <si>
    <t>ORD-0190</t>
  </si>
  <si>
    <t>ORD-0353</t>
  </si>
  <si>
    <t>ORD-0331</t>
  </si>
  <si>
    <t>ORD-0380</t>
  </si>
  <si>
    <t>ORD-0381</t>
  </si>
  <si>
    <t>ORD-0125</t>
  </si>
  <si>
    <t>ORD-0305</t>
  </si>
  <si>
    <t>ORD-0111</t>
  </si>
  <si>
    <t>ORD-0057</t>
  </si>
  <si>
    <t>ORD-0343</t>
  </si>
  <si>
    <t>ORD-0180</t>
  </si>
  <si>
    <t>ORD-0038</t>
  </si>
  <si>
    <t>ORD-0362</t>
  </si>
  <si>
    <t>ORD-0167</t>
  </si>
  <si>
    <t>ORD-0148</t>
  </si>
  <si>
    <t>ORD-0415</t>
  </si>
  <si>
    <t>ORD-0072</t>
  </si>
  <si>
    <t>ORD-0314</t>
  </si>
  <si>
    <t>ORD-0100</t>
  </si>
  <si>
    <t>ORD-0413</t>
  </si>
  <si>
    <t>ORD-0133</t>
  </si>
  <si>
    <t>ORD-0005</t>
  </si>
  <si>
    <t>ORD-0399</t>
  </si>
  <si>
    <t>ORD-0056</t>
  </si>
  <si>
    <t>ORD-0257</t>
  </si>
  <si>
    <t>ORD-0077</t>
  </si>
  <si>
    <t>ORD-0055</t>
  </si>
  <si>
    <t>ORD-0154</t>
  </si>
  <si>
    <t>ORD-0271</t>
  </si>
  <si>
    <t>ORD-0246</t>
  </si>
  <si>
    <t>ORD-0283</t>
  </si>
  <si>
    <t>ORD-0084</t>
  </si>
  <si>
    <t>ORD-0345</t>
  </si>
  <si>
    <t>ORD-0326</t>
  </si>
  <si>
    <t>ORD-0008</t>
  </si>
  <si>
    <t>ORD-0157</t>
  </si>
  <si>
    <t>ORD-0195</t>
  </si>
  <si>
    <t>ORD-0419</t>
  </si>
  <si>
    <t>ORD-0124</t>
  </si>
  <si>
    <t>ORD-0205</t>
  </si>
  <si>
    <t>ORD-0150</t>
  </si>
  <si>
    <t>ORD-0372</t>
  </si>
  <si>
    <t>ORD-0188</t>
  </si>
  <si>
    <t>ORD-0086</t>
  </si>
  <si>
    <t>ORD-0192</t>
  </si>
  <si>
    <t>ORD-0135</t>
  </si>
  <si>
    <t>ORD-0319</t>
  </si>
  <si>
    <t>ORD-0156</t>
  </si>
  <si>
    <t>ORD-0153</t>
  </si>
  <si>
    <t>ORD-0408</t>
  </si>
  <si>
    <t>ORD-0329</t>
  </si>
  <si>
    <t>ORD-0405</t>
  </si>
  <si>
    <t>ORD-0338</t>
  </si>
  <si>
    <t>ORD-0301</t>
  </si>
  <si>
    <t>ORD-0367</t>
  </si>
  <si>
    <t>ORD-0138</t>
  </si>
  <si>
    <t>ORD-0090</t>
  </si>
  <si>
    <t>ORD-0250</t>
  </si>
  <si>
    <t>ORD-0392</t>
  </si>
  <si>
    <t>ORD-0264</t>
  </si>
  <si>
    <t>ORD-0265</t>
  </si>
  <si>
    <t>ORD-0267</t>
  </si>
  <si>
    <t>ORD-0128</t>
  </si>
  <si>
    <t>ORD-0207</t>
  </si>
  <si>
    <t>ORD-0198</t>
  </si>
  <si>
    <t>ORD-0026</t>
  </si>
  <si>
    <t>ORD-0029</t>
  </si>
  <si>
    <t>ORD-0420</t>
  </si>
  <si>
    <t>ORD-0409</t>
  </si>
  <si>
    <t>ORD-0228</t>
  </si>
  <si>
    <t>ORD-0179</t>
  </si>
  <si>
    <t>ORD-0069</t>
  </si>
  <si>
    <t>ORD-0022</t>
  </si>
  <si>
    <t>ORD-0003</t>
  </si>
  <si>
    <t>ORD-0048</t>
  </si>
  <si>
    <t>ORD-0224</t>
  </si>
  <si>
    <t>ORD-0113</t>
  </si>
  <si>
    <t>ORD-0366</t>
  </si>
  <si>
    <t>ORD-0220</t>
  </si>
  <si>
    <t>ORD-0237</t>
  </si>
  <si>
    <t>ORD-0079</t>
  </si>
  <si>
    <t>ORD-0290</t>
  </si>
  <si>
    <t>ORD-0143</t>
  </si>
  <si>
    <t>ORD-0401</t>
  </si>
  <si>
    <t>ORD-0298</t>
  </si>
  <si>
    <t>ORD-0087</t>
  </si>
  <si>
    <t>ORD-0126</t>
  </si>
  <si>
    <t>ORD-0168</t>
  </si>
  <si>
    <t>ORD-0348</t>
  </si>
  <si>
    <t>ORD-0004</t>
  </si>
  <si>
    <t>ORD-0199</t>
  </si>
  <si>
    <t>ORD-0256</t>
  </si>
  <si>
    <t>ORD-0251</t>
  </si>
  <si>
    <t>ORD-0277</t>
  </si>
  <si>
    <t>ORD-0370</t>
  </si>
  <si>
    <t>ORD-0169</t>
  </si>
  <si>
    <t>ORD-0310</t>
  </si>
  <si>
    <t>ORD-0306</t>
  </si>
  <si>
    <t>ORD-0377</t>
  </si>
  <si>
    <t>ORD-0076</t>
  </si>
  <si>
    <t>ORD-0164</t>
  </si>
  <si>
    <t>ORD-0398</t>
  </si>
  <si>
    <t>ORD-0217</t>
  </si>
  <si>
    <t>ORD-0059</t>
  </si>
  <si>
    <t>ORD-0281</t>
  </si>
  <si>
    <t>ORD-0020</t>
  </si>
  <si>
    <t>ORD-0031</t>
  </si>
  <si>
    <t>ORD-0248</t>
  </si>
  <si>
    <t>ORD-0278</t>
  </si>
  <si>
    <t>ORD-0242</t>
  </si>
  <si>
    <t>ORD-0146</t>
  </si>
  <si>
    <t>ORD-0036</t>
  </si>
  <si>
    <t>ORD-0321</t>
  </si>
  <si>
    <t>ORD-0117</t>
  </si>
  <si>
    <t>ORD-0300</t>
  </si>
  <si>
    <t>ORD-0204</t>
  </si>
  <si>
    <t>ORD-0193</t>
  </si>
  <si>
    <t>ORD-0268</t>
  </si>
  <si>
    <t>ORD-0101</t>
  </si>
  <si>
    <t>ORD-0332</t>
  </si>
  <si>
    <t>ORD-0081</t>
  </si>
  <si>
    <t>ORD-0191</t>
  </si>
  <si>
    <t>ORD-0203</t>
  </si>
  <si>
    <t>ORD-0106</t>
  </si>
  <si>
    <t>ORD-0266</t>
  </si>
  <si>
    <t>ORD-0280</t>
  </si>
  <si>
    <t>ORD-0141</t>
  </si>
  <si>
    <t>ORD-0040</t>
  </si>
  <si>
    <t>ORD-0094</t>
  </si>
  <si>
    <t>ORD-0384</t>
  </si>
  <si>
    <t>ORD-0093</t>
  </si>
  <si>
    <t>ORD-0404</t>
  </si>
  <si>
    <t>ORD-0009</t>
  </si>
  <si>
    <t>ORD-0215</t>
  </si>
  <si>
    <t>ORD-0102</t>
  </si>
  <si>
    <t>ORD-0042</t>
  </si>
  <si>
    <t>ORD-0285</t>
  </si>
  <si>
    <t>ORD-0249</t>
  </si>
  <si>
    <t>ORD-0201</t>
  </si>
  <si>
    <t>ORD-0045</t>
  </si>
  <si>
    <t>ORD-0269</t>
  </si>
  <si>
    <t>ORD-0098</t>
  </si>
  <si>
    <t>ORD-0013</t>
  </si>
  <si>
    <t>ORD-0397</t>
  </si>
  <si>
    <t>ORD-0373</t>
  </si>
  <si>
    <t>ORD-0416</t>
  </si>
  <si>
    <t>ORD-0085</t>
  </si>
  <si>
    <t>ORD-0304</t>
  </si>
  <si>
    <t>ORD-0214</t>
  </si>
  <si>
    <t>ORD-0234</t>
  </si>
  <si>
    <t>ORD-0289</t>
  </si>
  <si>
    <t>ORD-0340</t>
  </si>
  <si>
    <t>ORD-0080</t>
  </si>
  <si>
    <t>ORD-0140</t>
  </si>
  <si>
    <t>ORD-0386</t>
  </si>
  <si>
    <t>ORD-0127</t>
  </si>
  <si>
    <t>ORD-0383</t>
  </si>
  <si>
    <t>ORD-0253</t>
  </si>
  <si>
    <t>ORD-0412</t>
  </si>
  <si>
    <t>ORD-0149</t>
  </si>
  <si>
    <t>ORD-0352</t>
  </si>
  <si>
    <t>ORD-0406</t>
  </si>
  <si>
    <t>ORD-0109</t>
  </si>
  <si>
    <t>ORD-0303</t>
  </si>
  <si>
    <t>ORD-0129</t>
  </si>
  <si>
    <t>ORD-0037</t>
  </si>
  <si>
    <t>ORD-0270</t>
  </si>
  <si>
    <t>ORD-0339</t>
  </si>
  <si>
    <t>ORD-0258</t>
  </si>
  <si>
    <t>ORD-0263</t>
  </si>
  <si>
    <t>ORD-0402</t>
  </si>
  <si>
    <t>ORD-0297</t>
  </si>
  <si>
    <t>ORD-0286</t>
  </si>
  <si>
    <t>ORD-0010</t>
  </si>
  <si>
    <t>ORD-0291</t>
  </si>
  <si>
    <t>ORD-0064</t>
  </si>
  <si>
    <t>ORD-0050</t>
  </si>
  <si>
    <t>ORD-0360</t>
  </si>
  <si>
    <t>ORD-0200</t>
  </si>
  <si>
    <t>ORD-0312</t>
  </si>
  <si>
    <t>ORD-0132</t>
  </si>
  <si>
    <t>ORD-0105</t>
  </si>
  <si>
    <t>ORD-0400</t>
  </si>
  <si>
    <t>ORD-0323</t>
  </si>
  <si>
    <t>ORD-0216</t>
  </si>
  <si>
    <t>ORD-0147</t>
  </si>
  <si>
    <t>ORD-0062</t>
  </si>
  <si>
    <t>ORD-0230</t>
  </si>
  <si>
    <t>ORD-0172</t>
  </si>
  <si>
    <t>ORD-0046</t>
  </si>
  <si>
    <t>ORD-0279</t>
  </si>
  <si>
    <t>ORD-0407</t>
  </si>
  <si>
    <t>ORD-0418</t>
  </si>
  <si>
    <t>ORD-0115</t>
  </si>
  <si>
    <t>Metric</t>
  </si>
  <si>
    <t>Value</t>
  </si>
  <si>
    <t>Total Revenue</t>
  </si>
  <si>
    <t>Total Orders</t>
  </si>
  <si>
    <t>Total Units Sold</t>
  </si>
  <si>
    <t>Average Order Value</t>
  </si>
  <si>
    <t>Row Labels</t>
  </si>
  <si>
    <t>Grand Total</t>
  </si>
  <si>
    <t>Sum of Revenue</t>
  </si>
  <si>
    <t>Top product by revenue</t>
  </si>
  <si>
    <t>Top category by revenue</t>
  </si>
  <si>
    <t xml:space="preserve">                                             RETAIL SALES DATA ANALYSIS</t>
  </si>
  <si>
    <t>Category with highest revenue %</t>
  </si>
  <si>
    <t>Top region by revenue</t>
  </si>
  <si>
    <t>Region with highest revenue %</t>
  </si>
  <si>
    <t>Top channel by revenue</t>
  </si>
  <si>
    <t>Monthly Revenue</t>
  </si>
  <si>
    <t>Highest Revenue Month</t>
  </si>
  <si>
    <t>RETAIL SALES DASHBOARD</t>
  </si>
  <si>
    <t>Jan</t>
  </si>
  <si>
    <t>Feb</t>
  </si>
  <si>
    <t>Mar</t>
  </si>
  <si>
    <t>Apr</t>
  </si>
  <si>
    <t>May</t>
  </si>
  <si>
    <t>Jun</t>
  </si>
  <si>
    <t>Jul</t>
  </si>
  <si>
    <t>Aug</t>
  </si>
  <si>
    <t>Sep</t>
  </si>
  <si>
    <t>Oct</t>
  </si>
  <si>
    <t>Nov</t>
  </si>
  <si>
    <t>Dec</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</si>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</sst>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Century Gothic"/>
      <family val="2"/>
      <scheme val="minor"/>
    </font>
    <font>
      <b/>
      <sz val="11"/>
      <color theme="1"/>
      <name val="Century Gothic"/>
      <family val="2"/>
      <scheme val="minor"/>
    </font>
    <font>
      <b/>
      <sz val="26"/>
      <color theme="1" tint="0.249977111117893"/>
      <name val="Bahnschrift"/>
      <family val="2"/>
    </font>
    <font>
      <b/>
      <sz val="12"/>
      <color theme="1"/>
      <name val="Century Gothic"/>
      <family val="2"/>
      <scheme val="minor"/>
    </font>
    <font>
      <b/>
      <sz val="26"/>
      <color theme="0"/>
      <name val="Century Gothic"/>
      <family val="2"/>
      <scheme val="minor"/>
    </font>
  </fonts>
  <fills count="7">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17" fontId="0" fillId="0" borderId="0" xfId="0" applyNumberFormat="1"/>
    <xf numFmtId="0" fontId="3" fillId="3" borderId="0" xfId="0" applyFont="1" applyFill="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right"/>
    </xf>
    <xf numFmtId="0" fontId="1" fillId="4" borderId="0" xfId="0" applyFont="1" applyFill="1"/>
    <xf numFmtId="164" fontId="1" fillId="4" borderId="0" xfId="0" applyNumberFormat="1" applyFont="1" applyFill="1"/>
    <xf numFmtId="17" fontId="0" fillId="5" borderId="0" xfId="0" applyNumberFormat="1" applyFill="1"/>
    <xf numFmtId="164" fontId="0" fillId="5" borderId="0" xfId="0" applyNumberFormat="1" applyFill="1"/>
    <xf numFmtId="0" fontId="0" fillId="0" borderId="0" xfId="0" applyAlignment="1">
      <alignment horizontal="left" indent="1"/>
    </xf>
    <xf numFmtId="0" fontId="4" fillId="6" borderId="0" xfId="0" applyFont="1" applyFill="1" applyAlignment="1">
      <alignment horizontal="center" vertical="center"/>
    </xf>
    <xf numFmtId="0" fontId="2" fillId="2" borderId="0" xfId="0" applyFont="1" applyFill="1" applyAlignment="1">
      <alignment horizontal="center" vertical="center"/>
    </xf>
    <xf numFmtId="0" fontId="0" fillId="2" borderId="0" xfId="0" applyFill="1" applyAlignment="1">
      <alignment horizontal="center"/>
    </xf>
    <xf numFmtId="0" fontId="3" fillId="4" borderId="0" xfId="0" applyFont="1" applyFill="1" applyAlignment="1">
      <alignment horizontal="center"/>
    </xf>
    <xf numFmtId="0" fontId="0" fillId="0" borderId="0" xfId="0" applyNumberFormat="1"/>
  </cellXfs>
  <cellStyles count="1">
    <cellStyle name="Normal" xfId="0" builtinId="0"/>
  </cellStyles>
  <dxfs count="50">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2" formatCode="mmm/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Analysis.xlsx]Product vs Revenue!PivotTable1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vs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vs Revenue'!$B$3</c:f>
              <c:strCache>
                <c:ptCount val="1"/>
                <c:pt idx="0">
                  <c:v>Total</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invertIfNegative val="0"/>
          <c:cat>
            <c:strRef>
              <c:f>'Product vs Revenue'!$A$4:$A$12</c:f>
              <c:strCache>
                <c:ptCount val="8"/>
                <c:pt idx="0">
                  <c:v>Laptop</c:v>
                </c:pt>
                <c:pt idx="1">
                  <c:v>Tablet</c:v>
                </c:pt>
                <c:pt idx="2">
                  <c:v>Monitor</c:v>
                </c:pt>
                <c:pt idx="3">
                  <c:v>Desk</c:v>
                </c:pt>
                <c:pt idx="4">
                  <c:v>Office Chair</c:v>
                </c:pt>
                <c:pt idx="5">
                  <c:v>Headphones</c:v>
                </c:pt>
                <c:pt idx="6">
                  <c:v>Keyboard</c:v>
                </c:pt>
                <c:pt idx="7">
                  <c:v>Mouse</c:v>
                </c:pt>
              </c:strCache>
            </c:strRef>
          </c:cat>
          <c:val>
            <c:numRef>
              <c:f>'Product vs Revenue'!$B$4:$B$12</c:f>
              <c:numCache>
                <c:formatCode>"₹"\ #,##0.00</c:formatCode>
                <c:ptCount val="8"/>
                <c:pt idx="0">
                  <c:v>11771100</c:v>
                </c:pt>
                <c:pt idx="1">
                  <c:v>2707900</c:v>
                </c:pt>
                <c:pt idx="2">
                  <c:v>2239525</c:v>
                </c:pt>
                <c:pt idx="3">
                  <c:v>1983750</c:v>
                </c:pt>
                <c:pt idx="4">
                  <c:v>1866220</c:v>
                </c:pt>
                <c:pt idx="5">
                  <c:v>492940</c:v>
                </c:pt>
                <c:pt idx="6">
                  <c:v>324330</c:v>
                </c:pt>
                <c:pt idx="7">
                  <c:v>188827.5</c:v>
                </c:pt>
              </c:numCache>
            </c:numRef>
          </c:val>
          <c:extLst>
            <c:ext xmlns:c16="http://schemas.microsoft.com/office/drawing/2014/chart" uri="{C3380CC4-5D6E-409C-BE32-E72D297353CC}">
              <c16:uniqueId val="{00000000-C778-4179-9656-5EF9865C74C5}"/>
            </c:ext>
          </c:extLst>
        </c:ser>
        <c:dLbls>
          <c:showLegendKey val="0"/>
          <c:showVal val="0"/>
          <c:showCatName val="0"/>
          <c:showSerName val="0"/>
          <c:showPercent val="0"/>
          <c:showBubbleSize val="0"/>
        </c:dLbls>
        <c:gapWidth val="100"/>
        <c:overlap val="-24"/>
        <c:axId val="1185931808"/>
        <c:axId val="1226774128"/>
      </c:barChart>
      <c:catAx>
        <c:axId val="11859318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6774128"/>
        <c:crosses val="autoZero"/>
        <c:auto val="1"/>
        <c:lblAlgn val="ctr"/>
        <c:lblOffset val="100"/>
        <c:noMultiLvlLbl val="0"/>
      </c:catAx>
      <c:valAx>
        <c:axId val="1226774128"/>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593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Analysis.xlsx]Category vs Revenue!PivotTable3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vs Revenue'!$B$3</c:f>
              <c:strCache>
                <c:ptCount val="1"/>
                <c:pt idx="0">
                  <c:v>Total</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invertIfNegative val="0"/>
          <c:cat>
            <c:strRef>
              <c:f>'Category vs Revenue'!$A$4:$A$7</c:f>
              <c:strCache>
                <c:ptCount val="3"/>
                <c:pt idx="0">
                  <c:v>Electronics</c:v>
                </c:pt>
                <c:pt idx="1">
                  <c:v>Furniture</c:v>
                </c:pt>
                <c:pt idx="2">
                  <c:v>Accessories</c:v>
                </c:pt>
              </c:strCache>
            </c:strRef>
          </c:cat>
          <c:val>
            <c:numRef>
              <c:f>'Category vs Revenue'!$B$4:$B$7</c:f>
              <c:numCache>
                <c:formatCode>"₹"\ #,##0.00</c:formatCode>
                <c:ptCount val="3"/>
                <c:pt idx="0">
                  <c:v>16718525</c:v>
                </c:pt>
                <c:pt idx="1">
                  <c:v>3849970</c:v>
                </c:pt>
                <c:pt idx="2">
                  <c:v>1006097.5</c:v>
                </c:pt>
              </c:numCache>
            </c:numRef>
          </c:val>
          <c:extLst>
            <c:ext xmlns:c16="http://schemas.microsoft.com/office/drawing/2014/chart" uri="{C3380CC4-5D6E-409C-BE32-E72D297353CC}">
              <c16:uniqueId val="{00000000-2E16-4F33-B753-BEAAF91881EE}"/>
            </c:ext>
          </c:extLst>
        </c:ser>
        <c:dLbls>
          <c:showLegendKey val="0"/>
          <c:showVal val="0"/>
          <c:showCatName val="0"/>
          <c:showSerName val="0"/>
          <c:showPercent val="0"/>
          <c:showBubbleSize val="0"/>
        </c:dLbls>
        <c:gapWidth val="100"/>
        <c:overlap val="-24"/>
        <c:axId val="1229971536"/>
        <c:axId val="1226779408"/>
      </c:barChart>
      <c:catAx>
        <c:axId val="12299715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6779408"/>
        <c:crosses val="autoZero"/>
        <c:auto val="1"/>
        <c:lblAlgn val="ctr"/>
        <c:lblOffset val="100"/>
        <c:noMultiLvlLbl val="0"/>
      </c:catAx>
      <c:valAx>
        <c:axId val="1226779408"/>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997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Analysis.xlsx]Region vs Revenue!PivotTable5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 vs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vs Revenue'!$B$3</c:f>
              <c:strCache>
                <c:ptCount val="1"/>
                <c:pt idx="0">
                  <c:v>Total</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invertIfNegative val="0"/>
          <c:cat>
            <c:strRef>
              <c:f>'Region vs Revenue'!$A$4:$A$8</c:f>
              <c:strCache>
                <c:ptCount val="4"/>
                <c:pt idx="0">
                  <c:v>East</c:v>
                </c:pt>
                <c:pt idx="1">
                  <c:v>North</c:v>
                </c:pt>
                <c:pt idx="2">
                  <c:v>South</c:v>
                </c:pt>
                <c:pt idx="3">
                  <c:v>West</c:v>
                </c:pt>
              </c:strCache>
            </c:strRef>
          </c:cat>
          <c:val>
            <c:numRef>
              <c:f>'Region vs Revenue'!$B$4:$B$8</c:f>
              <c:numCache>
                <c:formatCode>General</c:formatCode>
                <c:ptCount val="4"/>
                <c:pt idx="0">
                  <c:v>3759757.5</c:v>
                </c:pt>
                <c:pt idx="1">
                  <c:v>6230462.5</c:v>
                </c:pt>
                <c:pt idx="2">
                  <c:v>5438250</c:v>
                </c:pt>
                <c:pt idx="3">
                  <c:v>6146122.5</c:v>
                </c:pt>
              </c:numCache>
            </c:numRef>
          </c:val>
          <c:extLst>
            <c:ext xmlns:c16="http://schemas.microsoft.com/office/drawing/2014/chart" uri="{C3380CC4-5D6E-409C-BE32-E72D297353CC}">
              <c16:uniqueId val="{00000000-E96B-429B-8AE7-AD063BB55F6B}"/>
            </c:ext>
          </c:extLst>
        </c:ser>
        <c:dLbls>
          <c:showLegendKey val="0"/>
          <c:showVal val="0"/>
          <c:showCatName val="0"/>
          <c:showSerName val="0"/>
          <c:showPercent val="0"/>
          <c:showBubbleSize val="0"/>
        </c:dLbls>
        <c:gapWidth val="100"/>
        <c:overlap val="-24"/>
        <c:axId val="1268246592"/>
        <c:axId val="1108031920"/>
      </c:barChart>
      <c:catAx>
        <c:axId val="12682465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8031920"/>
        <c:crosses val="autoZero"/>
        <c:auto val="1"/>
        <c:lblAlgn val="ctr"/>
        <c:lblOffset val="100"/>
        <c:noMultiLvlLbl val="0"/>
      </c:catAx>
      <c:valAx>
        <c:axId val="11080319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6824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Analysis.xlsx]Channel vs Revenue!PivotTable7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Channel</a:t>
            </a:r>
            <a:r>
              <a:rPr lang="en-US" baseline="0"/>
              <a:t> vs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'Channel vs Revenue'!$B$3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5BD-4001-A351-A5B981AC01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5BD-4001-A351-A5B981AC01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'Channel vs Revenue'!$A$4:$A$6</c:f>
              <c:strCache>
                <c:ptCount val="2"/>
                <c:pt idx="0">
                  <c:v>Online</c:v>
                </c:pt>
                <c:pt idx="1">
                  <c:v>Store</c:v>
                </c:pt>
              </c:strCache>
            </c:strRef>
          </c:cat>
          <c:val>
            <c:numRef>
              <c:f>'Channel vs Revenue'!$B$4:$B$6</c:f>
              <c:numCache>
                <c:formatCode>"₹"\ #,##0.00</c:formatCode>
                <c:ptCount val="2"/>
                <c:pt idx="0">
                  <c:v>14125437.5</c:v>
                </c:pt>
                <c:pt idx="1">
                  <c:v>7449155</c:v>
                </c:pt>
              </c:numCache>
            </c:numRef>
          </c:val>
          <c:extLst>
            <c:ext xmlns:c16="http://schemas.microsoft.com/office/drawing/2014/chart" uri="{C3380CC4-5D6E-409C-BE32-E72D297353CC}">
              <c16:uniqueId val="{00000000-906A-4E89-8348-01B4565E4F5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Analysis.xlsx]Monthly Revenue!PivotTable2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0800" dist="38100" dir="5400000" rotWithShape="0">
              <a:srgbClr val="000000">
                <a:alpha val="46000"/>
              </a:srgbClr>
            </a:outerShdw>
          </a:effectLst>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34925" cap="rnd">
              <a:solidFill>
                <a:schemeClr val="accent1"/>
              </a:solidFill>
              <a:round/>
            </a:ln>
            <a:effectLst>
              <a:outerShdw blurRad="50800" dist="38100" dir="5400000" rotWithShape="0">
                <a:srgbClr val="000000">
                  <a:alpha val="46000"/>
                </a:srgbClr>
              </a:outerShdw>
            </a:effectLst>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cat>
            <c:multiLvlStrRef>
              <c:f>'Monthly Revenue'!$A$4:$A$34</c:f>
              <c:multiLvlStrCache>
                <c:ptCount val="18"/>
                <c:lvl>
                  <c:pt idx="0">
                    <c:v>2025</c:v>
                  </c:pt>
                  <c:pt idx="1">
                    <c:v>2026</c:v>
                  </c:pt>
                  <c:pt idx="2">
                    <c:v>2025</c:v>
                  </c:pt>
                  <c:pt idx="3">
                    <c:v>2026</c:v>
                  </c:pt>
                  <c:pt idx="4">
                    <c:v>2025</c:v>
                  </c:pt>
                  <c:pt idx="5">
                    <c:v>2026</c:v>
                  </c:pt>
                  <c:pt idx="6">
                    <c:v>2025</c:v>
                  </c:pt>
                  <c:pt idx="7">
                    <c:v>2026</c:v>
                  </c:pt>
                  <c:pt idx="8">
                    <c:v>2025</c:v>
                  </c:pt>
                  <c:pt idx="9">
                    <c:v>2026</c:v>
                  </c:pt>
                  <c:pt idx="10">
                    <c:v>2025</c:v>
                  </c:pt>
                  <c:pt idx="11">
                    <c:v>2026</c:v>
                  </c:pt>
                  <c:pt idx="12">
                    <c:v>2025</c:v>
                  </c:pt>
                  <c:pt idx="13">
                    <c:v>2025</c:v>
                  </c:pt>
                  <c:pt idx="14">
                    <c:v>2025</c:v>
                  </c:pt>
                  <c:pt idx="15">
                    <c:v>2025</c:v>
                  </c:pt>
                  <c:pt idx="16">
                    <c:v>2025</c:v>
                  </c:pt>
                  <c:pt idx="17">
                    <c:v>2025</c:v>
                  </c:pt>
                </c:lvl>
                <c:lvl>
                  <c:pt idx="0">
                    <c:v>Jan</c:v>
                  </c:pt>
                  <c:pt idx="2">
                    <c:v>Feb</c:v>
                  </c:pt>
                  <c:pt idx="4">
                    <c:v>Mar</c:v>
                  </c:pt>
                  <c:pt idx="6">
                    <c:v>Apr</c:v>
                  </c:pt>
                  <c:pt idx="8">
                    <c:v>May</c:v>
                  </c:pt>
                  <c:pt idx="10">
                    <c:v>Jun</c:v>
                  </c:pt>
                  <c:pt idx="12">
                    <c:v>Jul</c:v>
                  </c:pt>
                  <c:pt idx="13">
                    <c:v>Aug</c:v>
                  </c:pt>
                  <c:pt idx="14">
                    <c:v>Sep</c:v>
                  </c:pt>
                  <c:pt idx="15">
                    <c:v>Oct</c:v>
                  </c:pt>
                  <c:pt idx="16">
                    <c:v>Nov</c:v>
                  </c:pt>
                  <c:pt idx="17">
                    <c:v>Dec</c:v>
                  </c:pt>
                </c:lvl>
              </c:multiLvlStrCache>
            </c:multiLvlStrRef>
          </c:cat>
          <c:val>
            <c:numRef>
              <c:f>'Monthly Revenue'!$B$4:$B$34</c:f>
              <c:numCache>
                <c:formatCode>General</c:formatCode>
                <c:ptCount val="18"/>
                <c:pt idx="0">
                  <c:v>839380</c:v>
                </c:pt>
                <c:pt idx="1">
                  <c:v>939220</c:v>
                </c:pt>
                <c:pt idx="2">
                  <c:v>1086050</c:v>
                </c:pt>
                <c:pt idx="3">
                  <c:v>1056920</c:v>
                </c:pt>
                <c:pt idx="4">
                  <c:v>1667882.5</c:v>
                </c:pt>
                <c:pt idx="5">
                  <c:v>1175567.5</c:v>
                </c:pt>
                <c:pt idx="6">
                  <c:v>1481695</c:v>
                </c:pt>
                <c:pt idx="7">
                  <c:v>1078382.5</c:v>
                </c:pt>
                <c:pt idx="8">
                  <c:v>677430</c:v>
                </c:pt>
                <c:pt idx="9">
                  <c:v>1396645</c:v>
                </c:pt>
                <c:pt idx="10">
                  <c:v>1388460</c:v>
                </c:pt>
                <c:pt idx="11">
                  <c:v>986380</c:v>
                </c:pt>
                <c:pt idx="12">
                  <c:v>869435</c:v>
                </c:pt>
                <c:pt idx="13">
                  <c:v>1144485</c:v>
                </c:pt>
                <c:pt idx="14">
                  <c:v>1283345</c:v>
                </c:pt>
                <c:pt idx="15">
                  <c:v>1423987.5</c:v>
                </c:pt>
                <c:pt idx="16">
                  <c:v>1847780</c:v>
                </c:pt>
                <c:pt idx="17">
                  <c:v>1231547.5</c:v>
                </c:pt>
              </c:numCache>
            </c:numRef>
          </c:val>
          <c:smooth val="0"/>
          <c:extLst>
            <c:ext xmlns:c16="http://schemas.microsoft.com/office/drawing/2014/chart" uri="{C3380CC4-5D6E-409C-BE32-E72D297353CC}">
              <c16:uniqueId val="{00000000-6933-406F-A246-9CE4AAC6DC80}"/>
            </c:ext>
          </c:extLst>
        </c:ser>
        <c:dLbls>
          <c:showLegendKey val="0"/>
          <c:showVal val="0"/>
          <c:showCatName val="0"/>
          <c:showSerName val="0"/>
          <c:showPercent val="0"/>
          <c:showBubbleSize val="0"/>
        </c:dLbls>
        <c:marker val="1"/>
        <c:smooth val="0"/>
        <c:axId val="930669184"/>
        <c:axId val="755807952"/>
      </c:lineChart>
      <c:catAx>
        <c:axId val="930669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807952"/>
        <c:crosses val="autoZero"/>
        <c:auto val="1"/>
        <c:lblAlgn val="ctr"/>
        <c:lblOffset val="100"/>
        <c:noMultiLvlLbl val="0"/>
      </c:catAx>
      <c:valAx>
        <c:axId val="75580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Analysis.xlsx]Product vs Revenue!PivotTable1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vs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vs Revenue'!$B$3</c:f>
              <c:strCache>
                <c:ptCount val="1"/>
                <c:pt idx="0">
                  <c:v>Total</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invertIfNegative val="0"/>
          <c:cat>
            <c:strRef>
              <c:f>'Product vs Revenue'!$A$4:$A$12</c:f>
              <c:strCache>
                <c:ptCount val="8"/>
                <c:pt idx="0">
                  <c:v>Laptop</c:v>
                </c:pt>
                <c:pt idx="1">
                  <c:v>Tablet</c:v>
                </c:pt>
                <c:pt idx="2">
                  <c:v>Monitor</c:v>
                </c:pt>
                <c:pt idx="3">
                  <c:v>Desk</c:v>
                </c:pt>
                <c:pt idx="4">
                  <c:v>Office Chair</c:v>
                </c:pt>
                <c:pt idx="5">
                  <c:v>Headphones</c:v>
                </c:pt>
                <c:pt idx="6">
                  <c:v>Keyboard</c:v>
                </c:pt>
                <c:pt idx="7">
                  <c:v>Mouse</c:v>
                </c:pt>
              </c:strCache>
            </c:strRef>
          </c:cat>
          <c:val>
            <c:numRef>
              <c:f>'Product vs Revenue'!$B$4:$B$12</c:f>
              <c:numCache>
                <c:formatCode>"₹"\ #,##0.00</c:formatCode>
                <c:ptCount val="8"/>
                <c:pt idx="0">
                  <c:v>11771100</c:v>
                </c:pt>
                <c:pt idx="1">
                  <c:v>2707900</c:v>
                </c:pt>
                <c:pt idx="2">
                  <c:v>2239525</c:v>
                </c:pt>
                <c:pt idx="3">
                  <c:v>1983750</c:v>
                </c:pt>
                <c:pt idx="4">
                  <c:v>1866220</c:v>
                </c:pt>
                <c:pt idx="5">
                  <c:v>492940</c:v>
                </c:pt>
                <c:pt idx="6">
                  <c:v>324330</c:v>
                </c:pt>
                <c:pt idx="7">
                  <c:v>188827.5</c:v>
                </c:pt>
              </c:numCache>
            </c:numRef>
          </c:val>
          <c:extLst>
            <c:ext xmlns:c16="http://schemas.microsoft.com/office/drawing/2014/chart" uri="{C3380CC4-5D6E-409C-BE32-E72D297353CC}">
              <c16:uniqueId val="{00000000-DA28-4B45-A9F2-C7734BD2D638}"/>
            </c:ext>
          </c:extLst>
        </c:ser>
        <c:dLbls>
          <c:showLegendKey val="0"/>
          <c:showVal val="0"/>
          <c:showCatName val="0"/>
          <c:showSerName val="0"/>
          <c:showPercent val="0"/>
          <c:showBubbleSize val="0"/>
        </c:dLbls>
        <c:gapWidth val="100"/>
        <c:overlap val="-24"/>
        <c:axId val="1185931808"/>
        <c:axId val="1226774128"/>
      </c:barChart>
      <c:catAx>
        <c:axId val="11859318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6774128"/>
        <c:crosses val="autoZero"/>
        <c:auto val="1"/>
        <c:lblAlgn val="ctr"/>
        <c:lblOffset val="100"/>
        <c:noMultiLvlLbl val="0"/>
      </c:catAx>
      <c:valAx>
        <c:axId val="1226774128"/>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593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Analysis.xlsx]Category vs Revenue!PivotTable3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Category</a:t>
            </a:r>
            <a:r>
              <a:rPr lang="en-US" baseline="0"/>
              <a:t> vs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vs Revenue'!$B$3</c:f>
              <c:strCache>
                <c:ptCount val="1"/>
                <c:pt idx="0">
                  <c:v>Total</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invertIfNegative val="0"/>
          <c:cat>
            <c:strRef>
              <c:f>'Category vs Revenue'!$A$4:$A$7</c:f>
              <c:strCache>
                <c:ptCount val="3"/>
                <c:pt idx="0">
                  <c:v>Electronics</c:v>
                </c:pt>
                <c:pt idx="1">
                  <c:v>Furniture</c:v>
                </c:pt>
                <c:pt idx="2">
                  <c:v>Accessories</c:v>
                </c:pt>
              </c:strCache>
            </c:strRef>
          </c:cat>
          <c:val>
            <c:numRef>
              <c:f>'Category vs Revenue'!$B$4:$B$7</c:f>
              <c:numCache>
                <c:formatCode>"₹"\ #,##0.00</c:formatCode>
                <c:ptCount val="3"/>
                <c:pt idx="0">
                  <c:v>16718525</c:v>
                </c:pt>
                <c:pt idx="1">
                  <c:v>3849970</c:v>
                </c:pt>
                <c:pt idx="2">
                  <c:v>1006097.5</c:v>
                </c:pt>
              </c:numCache>
            </c:numRef>
          </c:val>
          <c:extLst>
            <c:ext xmlns:c16="http://schemas.microsoft.com/office/drawing/2014/chart" uri="{C3380CC4-5D6E-409C-BE32-E72D297353CC}">
              <c16:uniqueId val="{00000000-FF3D-4C17-8C2B-5EF43271F1C7}"/>
            </c:ext>
          </c:extLst>
        </c:ser>
        <c:dLbls>
          <c:showLegendKey val="0"/>
          <c:showVal val="0"/>
          <c:showCatName val="0"/>
          <c:showSerName val="0"/>
          <c:showPercent val="0"/>
          <c:showBubbleSize val="0"/>
        </c:dLbls>
        <c:gapWidth val="100"/>
        <c:overlap val="-24"/>
        <c:axId val="1229971536"/>
        <c:axId val="1226779408"/>
      </c:barChart>
      <c:catAx>
        <c:axId val="12299715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6779408"/>
        <c:crosses val="autoZero"/>
        <c:auto val="1"/>
        <c:lblAlgn val="ctr"/>
        <c:lblOffset val="100"/>
        <c:noMultiLvlLbl val="0"/>
      </c:catAx>
      <c:valAx>
        <c:axId val="1226779408"/>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997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Analysis.xlsx]Region vs Revenue!PivotTable5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 vs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vs Revenue'!$B$3</c:f>
              <c:strCache>
                <c:ptCount val="1"/>
                <c:pt idx="0">
                  <c:v>Total</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invertIfNegative val="0"/>
          <c:cat>
            <c:strRef>
              <c:f>'Region vs Revenue'!$A$4:$A$8</c:f>
              <c:strCache>
                <c:ptCount val="4"/>
                <c:pt idx="0">
                  <c:v>East</c:v>
                </c:pt>
                <c:pt idx="1">
                  <c:v>North</c:v>
                </c:pt>
                <c:pt idx="2">
                  <c:v>South</c:v>
                </c:pt>
                <c:pt idx="3">
                  <c:v>West</c:v>
                </c:pt>
              </c:strCache>
            </c:strRef>
          </c:cat>
          <c:val>
            <c:numRef>
              <c:f>'Region vs Revenue'!$B$4:$B$8</c:f>
              <c:numCache>
                <c:formatCode>General</c:formatCode>
                <c:ptCount val="4"/>
                <c:pt idx="0">
                  <c:v>3759757.5</c:v>
                </c:pt>
                <c:pt idx="1">
                  <c:v>6230462.5</c:v>
                </c:pt>
                <c:pt idx="2">
                  <c:v>5438250</c:v>
                </c:pt>
                <c:pt idx="3">
                  <c:v>6146122.5</c:v>
                </c:pt>
              </c:numCache>
            </c:numRef>
          </c:val>
          <c:extLst>
            <c:ext xmlns:c16="http://schemas.microsoft.com/office/drawing/2014/chart" uri="{C3380CC4-5D6E-409C-BE32-E72D297353CC}">
              <c16:uniqueId val="{00000000-03B6-4C42-9F61-B1247B127DA8}"/>
            </c:ext>
          </c:extLst>
        </c:ser>
        <c:dLbls>
          <c:showLegendKey val="0"/>
          <c:showVal val="0"/>
          <c:showCatName val="0"/>
          <c:showSerName val="0"/>
          <c:showPercent val="0"/>
          <c:showBubbleSize val="0"/>
        </c:dLbls>
        <c:gapWidth val="100"/>
        <c:overlap val="-24"/>
        <c:axId val="1268246592"/>
        <c:axId val="1108031920"/>
      </c:barChart>
      <c:catAx>
        <c:axId val="12682465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8031920"/>
        <c:crosses val="autoZero"/>
        <c:auto val="1"/>
        <c:lblAlgn val="ctr"/>
        <c:lblOffset val="100"/>
        <c:noMultiLvlLbl val="0"/>
      </c:catAx>
      <c:valAx>
        <c:axId val="11080319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6824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Analysis.xlsx]Channel vs Revenue!PivotTable7</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Channel</a:t>
            </a:r>
            <a:r>
              <a:rPr lang="en-US" baseline="0"/>
              <a:t> vs Revenue</a:t>
            </a:r>
            <a:endParaRPr lang="en-US"/>
          </a:p>
        </c:rich>
      </c:tx>
      <c:layout>
        <c:manualLayout>
          <c:xMode val="edge"/>
          <c:yMode val="edge"/>
          <c:x val="0.14145509903434597"/>
          <c:y val="4.537036044684446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'Channel vs Revenue'!$B$3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DBE-4667-890E-F4DB887487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DBE-4667-890E-F4DB887487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'Channel vs Revenue'!$A$4:$A$6</c:f>
              <c:strCache>
                <c:ptCount val="2"/>
                <c:pt idx="0">
                  <c:v>Online</c:v>
                </c:pt>
                <c:pt idx="1">
                  <c:v>Store</c:v>
                </c:pt>
              </c:strCache>
            </c:strRef>
          </c:cat>
          <c:val>
            <c:numRef>
              <c:f>'Channel vs Revenue'!$B$4:$B$6</c:f>
              <c:numCache>
                <c:formatCode>"₹"\ #,##0.00</c:formatCode>
                <c:ptCount val="2"/>
                <c:pt idx="0">
                  <c:v>14125437.5</c:v>
                </c:pt>
                <c:pt idx="1">
                  <c:v>7449155</c:v>
                </c:pt>
              </c:numCache>
            </c:numRef>
          </c:val>
          <c:extLst>
            <c:ext xmlns:c16="http://schemas.microsoft.com/office/drawing/2014/chart" uri="{C3380CC4-5D6E-409C-BE32-E72D297353CC}">
              <c16:uniqueId val="{00000004-3DBE-4667-890E-F4DB8874879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 Analysis.xlsx]Monthly Revenue!PivotTable2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Revenue</a:t>
            </a:r>
          </a:p>
        </c:rich>
      </c:tx>
      <c:layout>
        <c:manualLayout>
          <c:xMode val="edge"/>
          <c:yMode val="edge"/>
          <c:x val="0.27567131167253783"/>
          <c:y val="3.937932164799581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34925" cap="rnd">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34925" cap="rnd">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0800" dist="38100" dir="5400000" rotWithShape="0">
              <a:srgbClr val="000000">
                <a:alpha val="46000"/>
              </a:srgbClr>
            </a:outerShdw>
          </a:effectLst>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34925" cap="rnd">
              <a:solidFill>
                <a:schemeClr val="accent1"/>
              </a:solidFill>
              <a:round/>
            </a:ln>
            <a:effectLst>
              <a:outerShdw blurRad="50800" dist="38100" dir="5400000" rotWithShape="0">
                <a:srgbClr val="000000">
                  <a:alpha val="46000"/>
                </a:srgbClr>
              </a:outerShdw>
            </a:effectLst>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cat>
            <c:multiLvlStrRef>
              <c:f>'Monthly Revenue'!$A$4:$A$34</c:f>
              <c:multiLvlStrCache>
                <c:ptCount val="18"/>
                <c:lvl>
                  <c:pt idx="0">
                    <c:v>2025</c:v>
                  </c:pt>
                  <c:pt idx="1">
                    <c:v>2026</c:v>
                  </c:pt>
                  <c:pt idx="2">
                    <c:v>2025</c:v>
                  </c:pt>
                  <c:pt idx="3">
                    <c:v>2026</c:v>
                  </c:pt>
                  <c:pt idx="4">
                    <c:v>2025</c:v>
                  </c:pt>
                  <c:pt idx="5">
                    <c:v>2026</c:v>
                  </c:pt>
                  <c:pt idx="6">
                    <c:v>2025</c:v>
                  </c:pt>
                  <c:pt idx="7">
                    <c:v>2026</c:v>
                  </c:pt>
                  <c:pt idx="8">
                    <c:v>2025</c:v>
                  </c:pt>
                  <c:pt idx="9">
                    <c:v>2026</c:v>
                  </c:pt>
                  <c:pt idx="10">
                    <c:v>2025</c:v>
                  </c:pt>
                  <c:pt idx="11">
                    <c:v>2026</c:v>
                  </c:pt>
                  <c:pt idx="12">
                    <c:v>2025</c:v>
                  </c:pt>
                  <c:pt idx="13">
                    <c:v>2025</c:v>
                  </c:pt>
                  <c:pt idx="14">
                    <c:v>2025</c:v>
                  </c:pt>
                  <c:pt idx="15">
                    <c:v>2025</c:v>
                  </c:pt>
                  <c:pt idx="16">
                    <c:v>2025</c:v>
                  </c:pt>
                  <c:pt idx="17">
                    <c:v>2025</c:v>
                  </c:pt>
                </c:lvl>
                <c:lvl>
                  <c:pt idx="0">
                    <c:v>Jan</c:v>
                  </c:pt>
                  <c:pt idx="2">
                    <c:v>Feb</c:v>
                  </c:pt>
                  <c:pt idx="4">
                    <c:v>Mar</c:v>
                  </c:pt>
                  <c:pt idx="6">
                    <c:v>Apr</c:v>
                  </c:pt>
                  <c:pt idx="8">
                    <c:v>May</c:v>
                  </c:pt>
                  <c:pt idx="10">
                    <c:v>Jun</c:v>
                  </c:pt>
                  <c:pt idx="12">
                    <c:v>Jul</c:v>
                  </c:pt>
                  <c:pt idx="13">
                    <c:v>Aug</c:v>
                  </c:pt>
                  <c:pt idx="14">
                    <c:v>Sep</c:v>
                  </c:pt>
                  <c:pt idx="15">
                    <c:v>Oct</c:v>
                  </c:pt>
                  <c:pt idx="16">
                    <c:v>Nov</c:v>
                  </c:pt>
                  <c:pt idx="17">
                    <c:v>Dec</c:v>
                  </c:pt>
                </c:lvl>
              </c:multiLvlStrCache>
            </c:multiLvlStrRef>
          </c:cat>
          <c:val>
            <c:numRef>
              <c:f>'Monthly Revenue'!$B$4:$B$34</c:f>
              <c:numCache>
                <c:formatCode>General</c:formatCode>
                <c:ptCount val="18"/>
                <c:pt idx="0">
                  <c:v>839380</c:v>
                </c:pt>
                <c:pt idx="1">
                  <c:v>939220</c:v>
                </c:pt>
                <c:pt idx="2">
                  <c:v>1086050</c:v>
                </c:pt>
                <c:pt idx="3">
                  <c:v>1056920</c:v>
                </c:pt>
                <c:pt idx="4">
                  <c:v>1667882.5</c:v>
                </c:pt>
                <c:pt idx="5">
                  <c:v>1175567.5</c:v>
                </c:pt>
                <c:pt idx="6">
                  <c:v>1481695</c:v>
                </c:pt>
                <c:pt idx="7">
                  <c:v>1078382.5</c:v>
                </c:pt>
                <c:pt idx="8">
                  <c:v>677430</c:v>
                </c:pt>
                <c:pt idx="9">
                  <c:v>1396645</c:v>
                </c:pt>
                <c:pt idx="10">
                  <c:v>1388460</c:v>
                </c:pt>
                <c:pt idx="11">
                  <c:v>986380</c:v>
                </c:pt>
                <c:pt idx="12">
                  <c:v>869435</c:v>
                </c:pt>
                <c:pt idx="13">
                  <c:v>1144485</c:v>
                </c:pt>
                <c:pt idx="14">
                  <c:v>1283345</c:v>
                </c:pt>
                <c:pt idx="15">
                  <c:v>1423987.5</c:v>
                </c:pt>
                <c:pt idx="16">
                  <c:v>1847780</c:v>
                </c:pt>
                <c:pt idx="17">
                  <c:v>1231547.5</c:v>
                </c:pt>
              </c:numCache>
            </c:numRef>
          </c:val>
          <c:smooth val="0"/>
          <c:extLst>
            <c:ext xmlns:c16="http://schemas.microsoft.com/office/drawing/2014/chart" uri="{C3380CC4-5D6E-409C-BE32-E72D297353CC}">
              <c16:uniqueId val="{00000000-485B-4E0F-B256-017730AF4CF9}"/>
            </c:ext>
          </c:extLst>
        </c:ser>
        <c:dLbls>
          <c:showLegendKey val="0"/>
          <c:showVal val="0"/>
          <c:showCatName val="0"/>
          <c:showSerName val="0"/>
          <c:showPercent val="0"/>
          <c:showBubbleSize val="0"/>
        </c:dLbls>
        <c:marker val="1"/>
        <c:smooth val="0"/>
        <c:axId val="930669184"/>
        <c:axId val="755807952"/>
      </c:lineChart>
      <c:catAx>
        <c:axId val="930669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807952"/>
        <c:crosses val="autoZero"/>
        <c:auto val="1"/>
        <c:lblAlgn val="ctr"/>
        <c:lblOffset val="100"/>
        <c:noMultiLvlLbl val="0"/>
      </c:catAx>
      <c:valAx>
        <c:axId val="75580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601980</xdr:colOff>
      <xdr:row>1</xdr:row>
      <xdr:rowOff>175260</xdr:rowOff>
    </xdr:from>
    <xdr:to>
      <xdr:col>10</xdr:col>
      <xdr:colOff>297180</xdr:colOff>
      <xdr:row>16</xdr:row>
      <xdr:rowOff>175260</xdr:rowOff>
    </xdr:to>
    <xdr:graphicFrame macro="">
      <xdr:nvGraphicFramePr>
        <xdr:cNvPr id="2" name="Chart 1">
          <a:extLst>
            <a:ext uri="{FF2B5EF4-FFF2-40B4-BE49-F238E27FC236}">
              <a16:creationId xmlns:a16="http://schemas.microsoft.com/office/drawing/2014/main" id="{EFBA9565-CF54-07FE-A3EF-E8D639F00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502920</xdr:colOff>
      <xdr:row>1</xdr:row>
      <xdr:rowOff>99060</xdr:rowOff>
    </xdr:from>
    <xdr:to>
      <xdr:col>13</xdr:col>
      <xdr:colOff>320040</xdr:colOff>
      <xdr:row>15</xdr:row>
      <xdr:rowOff>112395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E49B4F5C-29C3-D4F4-D834-3A548E03BE4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985760" y="274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350520</xdr:colOff>
      <xdr:row>2</xdr:row>
      <xdr:rowOff>0</xdr:rowOff>
    </xdr:from>
    <xdr:to>
      <xdr:col>10</xdr:col>
      <xdr:colOff>45720</xdr:colOff>
      <xdr:row>17</xdr:row>
      <xdr:rowOff>0</xdr:rowOff>
    </xdr:to>
    <xdr:graphicFrame macro="">
      <xdr:nvGraphicFramePr>
        <xdr:cNvPr id="2" name="Chart 1">
          <a:extLst>
            <a:ext uri="{FF2B5EF4-FFF2-40B4-BE49-F238E27FC236}">
              <a16:creationId xmlns:a16="http://schemas.microsoft.com/office/drawing/2014/main" id="{9200966C-39B4-7883-E039-F6C8C19F0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327660</xdr:colOff>
      <xdr:row>2</xdr:row>
      <xdr:rowOff>15240</xdr:rowOff>
    </xdr:from>
    <xdr:to>
      <xdr:col>13</xdr:col>
      <xdr:colOff>144780</xdr:colOff>
      <xdr:row>16</xdr:row>
      <xdr:rowOff>28575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A8424437-2432-4288-5BAE-70421FEBA3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81050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563880</xdr:colOff>
      <xdr:row>1</xdr:row>
      <xdr:rowOff>68580</xdr:rowOff>
    </xdr:from>
    <xdr:to>
      <xdr:col>10</xdr:col>
      <xdr:colOff>259080</xdr:colOff>
      <xdr:row>16</xdr:row>
      <xdr:rowOff>68580</xdr:rowOff>
    </xdr:to>
    <xdr:graphicFrame macro="">
      <xdr:nvGraphicFramePr>
        <xdr:cNvPr id="2" name="Chart 1">
          <a:extLst>
            <a:ext uri="{FF2B5EF4-FFF2-40B4-BE49-F238E27FC236}">
              <a16:creationId xmlns:a16="http://schemas.microsoft.com/office/drawing/2014/main" id="{D8C01E15-2A45-C40C-0A4A-D2B1DB9D6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403860</xdr:colOff>
      <xdr:row>1</xdr:row>
      <xdr:rowOff>68580</xdr:rowOff>
    </xdr:from>
    <xdr:to>
      <xdr:col>13</xdr:col>
      <xdr:colOff>220980</xdr:colOff>
      <xdr:row>15</xdr:row>
      <xdr:rowOff>81915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9425F31-477C-FE67-25AB-316CD79954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86700" y="243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232410</xdr:colOff>
      <xdr:row>1</xdr:row>
      <xdr:rowOff>160020</xdr:rowOff>
    </xdr:from>
    <xdr:to>
      <xdr:col>7</xdr:col>
      <xdr:colOff>548640</xdr:colOff>
      <xdr:row>14</xdr:row>
      <xdr:rowOff>148590</xdr:rowOff>
    </xdr:to>
    <xdr:graphicFrame macro="">
      <xdr:nvGraphicFramePr>
        <xdr:cNvPr id="5" name="Chart 4">
          <a:extLst>
            <a:ext uri="{FF2B5EF4-FFF2-40B4-BE49-F238E27FC236}">
              <a16:creationId xmlns:a16="http://schemas.microsoft.com/office/drawing/2014/main" id="{37B16AE6-98B1-6B0F-8FEB-A38EC668B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457200</xdr:colOff>
      <xdr:row>1</xdr:row>
      <xdr:rowOff>137160</xdr:rowOff>
    </xdr:from>
    <xdr:to>
      <xdr:col>11</xdr:col>
      <xdr:colOff>274320</xdr:colOff>
      <xdr:row>15</xdr:row>
      <xdr:rowOff>163195</xdr:rowOff>
    </xdr:to>
    <mc:AlternateContent xmlns:mc="http://schemas.openxmlformats.org/markup-compatibility/2006" xmlns:a14="http://schemas.microsoft.com/office/drawing/2010/main">
      <mc:Choice Requires="a14">
        <xdr:graphicFrame macro="">
          <xdr:nvGraphicFramePr>
            <xdr:cNvPr id="6" name="Channel">
              <a:extLst>
                <a:ext uri="{FF2B5EF4-FFF2-40B4-BE49-F238E27FC236}">
                  <a16:creationId xmlns:a16="http://schemas.microsoft.com/office/drawing/2014/main" id="{2BB9694C-8811-0955-9906-36F4B313D247}"/>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6598920" y="312420"/>
              <a:ext cx="1828800" cy="247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613410</xdr:colOff>
      <xdr:row>1</xdr:row>
      <xdr:rowOff>64770</xdr:rowOff>
    </xdr:from>
    <xdr:to>
      <xdr:col>9</xdr:col>
      <xdr:colOff>491490</xdr:colOff>
      <xdr:row>17</xdr:row>
      <xdr:rowOff>3810</xdr:rowOff>
    </xdr:to>
    <xdr:graphicFrame macro="">
      <xdr:nvGraphicFramePr>
        <xdr:cNvPr id="2" name="Chart 1">
          <a:extLst>
            <a:ext uri="{FF2B5EF4-FFF2-40B4-BE49-F238E27FC236}">
              <a16:creationId xmlns:a16="http://schemas.microsoft.com/office/drawing/2014/main" id="{06123115-D818-1E31-91BB-3918D94E8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624840</xdr:colOff>
      <xdr:row>1</xdr:row>
      <xdr:rowOff>30480</xdr:rowOff>
    </xdr:from>
    <xdr:to>
      <xdr:col>14</xdr:col>
      <xdr:colOff>609600</xdr:colOff>
      <xdr:row>9</xdr:row>
      <xdr:rowOff>0</xdr:rowOff>
    </xdr:to>
    <mc:AlternateContent xmlns:mc="http://schemas.openxmlformats.org/markup-compatibility/2006" xmlns:tsle="http://schemas.microsoft.com/office/drawing/2012/timeslicer">
      <mc:Choice Requires="tsle">
        <xdr:graphicFrame macro="">
          <xdr:nvGraphicFramePr>
            <xdr:cNvPr id="4" name="Month">
              <a:extLst>
                <a:ext uri="{FF2B5EF4-FFF2-40B4-BE49-F238E27FC236}">
                  <a16:creationId xmlns:a16="http://schemas.microsoft.com/office/drawing/2014/main" id="{B7B0968A-5DD0-BB63-DB1F-DCF2D5AD9A78}"/>
                </a:ext>
              </a:extLst>
            </xdr:cNvPr>
            <xdr:cNvGraphicFramePr/>
          </xdr:nvGraphicFramePr>
          <xdr:xfrm>
            <a:off x="0" y="0"/>
            <a:ext cx="0" cy="0"/>
          </xdr:xfrm>
          <a:graphic>
            <a:graphicData uri="http://schemas.microsoft.com/office/drawing/2012/timeslicer">
              <tsle:timeslicer name="Month"/>
            </a:graphicData>
          </a:graphic>
        </xdr:graphicFrame>
      </mc:Choice>
      <mc:Fallback xmlns="">
        <xdr:sp macro="" textlink="">
          <xdr:nvSpPr>
            <xdr:cNvPr id="0" name=""/>
            <xdr:cNvSpPr>
              <a:spLocks noTextEdit="1"/>
            </xdr:cNvSpPr>
          </xdr:nvSpPr>
          <xdr:spPr>
            <a:xfrm>
              <a:off x="7437120" y="2057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3</xdr:row>
      <xdr:rowOff>125606</xdr:rowOff>
    </xdr:from>
    <xdr:to>
      <xdr:col>4</xdr:col>
      <xdr:colOff>636395</xdr:colOff>
      <xdr:row>17</xdr:row>
      <xdr:rowOff>8373</xdr:rowOff>
    </xdr:to>
    <xdr:graphicFrame macro="">
      <xdr:nvGraphicFramePr>
        <xdr:cNvPr id="2" name="Chart 1">
          <a:extLst>
            <a:ext uri="{FF2B5EF4-FFF2-40B4-BE49-F238E27FC236}">
              <a16:creationId xmlns:a16="http://schemas.microsoft.com/office/drawing/2014/main" id="{3974FA1D-BC96-49D1-9F36-BF5C88D04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62969</xdr:colOff>
      <xdr:row>3</xdr:row>
      <xdr:rowOff>151647</xdr:rowOff>
    </xdr:from>
    <xdr:to>
      <xdr:col>7</xdr:col>
      <xdr:colOff>494043</xdr:colOff>
      <xdr:row>16</xdr:row>
      <xdr:rowOff>117232</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57E5FB4B-CEC4-4DD2-B913-7C85F2321AF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412420" y="679185"/>
              <a:ext cx="1770854" cy="2251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660093</xdr:colOff>
      <xdr:row>3</xdr:row>
      <xdr:rowOff>135653</xdr:rowOff>
    </xdr:from>
    <xdr:to>
      <xdr:col>13</xdr:col>
      <xdr:colOff>175847</xdr:colOff>
      <xdr:row>17</xdr:row>
      <xdr:rowOff>58615</xdr:rowOff>
    </xdr:to>
    <xdr:graphicFrame macro="">
      <xdr:nvGraphicFramePr>
        <xdr:cNvPr id="4" name="Chart 3">
          <a:extLst>
            <a:ext uri="{FF2B5EF4-FFF2-40B4-BE49-F238E27FC236}">
              <a16:creationId xmlns:a16="http://schemas.microsoft.com/office/drawing/2014/main" id="{00266F68-36BD-4071-A89E-2A80151D1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282778</xdr:colOff>
      <xdr:row>3</xdr:row>
      <xdr:rowOff>127280</xdr:rowOff>
    </xdr:from>
    <xdr:to>
      <xdr:col>16</xdr:col>
      <xdr:colOff>50242</xdr:colOff>
      <xdr:row>11</xdr:row>
      <xdr:rowOff>58615</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551942E2-5C61-4C5C-8963-94F02001090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991349" y="654818"/>
              <a:ext cx="1777135" cy="1338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100482</xdr:rowOff>
    </xdr:from>
    <xdr:to>
      <xdr:col>6</xdr:col>
      <xdr:colOff>502417</xdr:colOff>
      <xdr:row>30</xdr:row>
      <xdr:rowOff>58615</xdr:rowOff>
    </xdr:to>
    <xdr:graphicFrame macro="">
      <xdr:nvGraphicFramePr>
        <xdr:cNvPr id="6" name="Chart 5">
          <a:extLst>
            <a:ext uri="{FF2B5EF4-FFF2-40B4-BE49-F238E27FC236}">
              <a16:creationId xmlns:a16="http://schemas.microsoft.com/office/drawing/2014/main" id="{CE16448A-7897-4D92-9A6D-BFE240A3C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284705</xdr:colOff>
      <xdr:row>11</xdr:row>
      <xdr:rowOff>125606</xdr:rowOff>
    </xdr:from>
    <xdr:to>
      <xdr:col>16</xdr:col>
      <xdr:colOff>92110</xdr:colOff>
      <xdr:row>19</xdr:row>
      <xdr:rowOff>142352</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D2F53441-61EC-46A9-9CF5-591B4F85DAE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93276" y="2059914"/>
              <a:ext cx="1817076" cy="1423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108856</xdr:colOff>
      <xdr:row>17</xdr:row>
      <xdr:rowOff>175844</xdr:rowOff>
    </xdr:from>
    <xdr:to>
      <xdr:col>12</xdr:col>
      <xdr:colOff>468924</xdr:colOff>
      <xdr:row>30</xdr:row>
      <xdr:rowOff>108857</xdr:rowOff>
    </xdr:to>
    <xdr:graphicFrame macro="">
      <xdr:nvGraphicFramePr>
        <xdr:cNvPr id="10" name="Chart 9">
          <a:extLst>
            <a:ext uri="{FF2B5EF4-FFF2-40B4-BE49-F238E27FC236}">
              <a16:creationId xmlns:a16="http://schemas.microsoft.com/office/drawing/2014/main" id="{BA9B7093-2420-456D-B09B-B0FC37C34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351691</xdr:colOff>
      <xdr:row>20</xdr:row>
      <xdr:rowOff>108856</xdr:rowOff>
    </xdr:from>
    <xdr:to>
      <xdr:col>16</xdr:col>
      <xdr:colOff>41868</xdr:colOff>
      <xdr:row>30</xdr:row>
      <xdr:rowOff>1080</xdr:rowOff>
    </xdr:to>
    <mc:AlternateContent xmlns:mc="http://schemas.openxmlformats.org/markup-compatibility/2006" xmlns:a14="http://schemas.microsoft.com/office/drawing/2010/main">
      <mc:Choice Requires="a14">
        <xdr:graphicFrame macro="">
          <xdr:nvGraphicFramePr>
            <xdr:cNvPr id="11" name="Channel 1">
              <a:extLst>
                <a:ext uri="{FF2B5EF4-FFF2-40B4-BE49-F238E27FC236}">
                  <a16:creationId xmlns:a16="http://schemas.microsoft.com/office/drawing/2014/main" id="{C626E509-2583-4A5C-9206-44CE1DE74EC0}"/>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9060262" y="3625779"/>
              <a:ext cx="1699848" cy="1650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276329</xdr:colOff>
      <xdr:row>3</xdr:row>
      <xdr:rowOff>100483</xdr:rowOff>
    </xdr:from>
    <xdr:to>
      <xdr:col>22</xdr:col>
      <xdr:colOff>569407</xdr:colOff>
      <xdr:row>19</xdr:row>
      <xdr:rowOff>83736</xdr:rowOff>
    </xdr:to>
    <xdr:graphicFrame macro="">
      <xdr:nvGraphicFramePr>
        <xdr:cNvPr id="8" name="Chart 7">
          <a:extLst>
            <a:ext uri="{FF2B5EF4-FFF2-40B4-BE49-F238E27FC236}">
              <a16:creationId xmlns:a16="http://schemas.microsoft.com/office/drawing/2014/main" id="{D28AD38E-6FB8-4717-A4A2-AF1E3B248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334944</xdr:colOff>
      <xdr:row>20</xdr:row>
      <xdr:rowOff>100484</xdr:rowOff>
    </xdr:from>
    <xdr:to>
      <xdr:col>22</xdr:col>
      <xdr:colOff>602901</xdr:colOff>
      <xdr:row>29</xdr:row>
      <xdr:rowOff>92109</xdr:rowOff>
    </xdr:to>
    <mc:AlternateContent xmlns:mc="http://schemas.openxmlformats.org/markup-compatibility/2006" xmlns:tsle="http://schemas.microsoft.com/office/drawing/2012/timeslicer">
      <mc:Choice Requires="tsle">
        <xdr:graphicFrame macro="">
          <xdr:nvGraphicFramePr>
            <xdr:cNvPr id="9" name="Month 1">
              <a:extLst>
                <a:ext uri="{FF2B5EF4-FFF2-40B4-BE49-F238E27FC236}">
                  <a16:creationId xmlns:a16="http://schemas.microsoft.com/office/drawing/2014/main" id="{C3034C5F-8C3C-4C05-85C5-6069E6869ACC}"/>
                </a:ext>
              </a:extLst>
            </xdr:cNvPr>
            <xdr:cNvGraphicFramePr/>
          </xdr:nvGraphicFramePr>
          <xdr:xfrm>
            <a:off x="0" y="0"/>
            <a:ext cx="0" cy="0"/>
          </xdr:xfrm>
          <a:graphic>
            <a:graphicData uri="http://schemas.microsoft.com/office/drawing/2012/timeslicer">
              <tsle:timeslicer name="Month 1"/>
            </a:graphicData>
          </a:graphic>
        </xdr:graphicFrame>
      </mc:Choice>
      <mc:Fallback xmlns="">
        <xdr:sp macro="" textlink="">
          <xdr:nvSpPr>
            <xdr:cNvPr id="0" name=""/>
            <xdr:cNvSpPr>
              <a:spLocks noTextEdit="1"/>
            </xdr:cNvSpPr>
          </xdr:nvSpPr>
          <xdr:spPr>
            <a:xfrm>
              <a:off x="11053186" y="3617407"/>
              <a:ext cx="4287297" cy="15742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lpa dua" refreshedDate="46276.567402546294" createdVersion="8" refreshedVersion="8" minRefreshableVersion="3" recordCount="420" xr:uid="{A8F38610-46D4-4788-B3DE-4F81A5F9312F}">
  <cacheSource type="worksheet">
    <worksheetSource name="Table1"/>
  </cacheSource>
  <cacheFields count="15">
    <cacheField name="Order ID" numFmtId="0">
      <sharedItems/>
    </cacheField>
    <cacheField name="Date" numFmtId="14">
      <sharedItems containsSemiMixedTypes="0" containsNonDate="0" containsDate="1" containsString="0" minDate="2025-01-01T00:00:00" maxDate="2026-06-30T00:00:00" count="295">
        <d v="2025-01-01T00:00:00"/>
        <d v="2025-01-02T00:00:00"/>
        <d v="2025-01-03T00:00:00"/>
        <d v="2025-01-05T00:00:00"/>
        <d v="2025-01-06T00:00:00"/>
        <d v="2025-01-09T00:00:00"/>
        <d v="2025-01-11T00:00:00"/>
        <d v="2025-01-12T00:00:00"/>
        <d v="2025-01-13T00:00:00"/>
        <d v="2025-01-17T00:00:00"/>
        <d v="2025-01-18T00:00:00"/>
        <d v="2025-01-21T00:00:00"/>
        <d v="2025-01-22T00:00:00"/>
        <d v="2025-01-23T00:00:00"/>
        <d v="2025-01-24T00:00:00"/>
        <d v="2025-01-25T00:00:00"/>
        <d v="2025-01-27T00:00:00"/>
        <d v="2025-01-30T00:00:00"/>
        <d v="2025-01-31T00:00:00"/>
        <d v="2025-02-01T00:00:00"/>
        <d v="2025-02-02T00:00:00"/>
        <d v="2025-02-06T00:00:00"/>
        <d v="2025-02-07T00:00:00"/>
        <d v="2025-02-08T00:00:00"/>
        <d v="2025-02-09T00:00:00"/>
        <d v="2025-02-10T00:00:00"/>
        <d v="2025-02-11T00:00:00"/>
        <d v="2025-02-13T00:00:00"/>
        <d v="2025-02-14T00:00:00"/>
        <d v="2025-02-17T00:00:00"/>
        <d v="2025-02-19T00:00:00"/>
        <d v="2025-02-20T00:00:00"/>
        <d v="2025-02-21T00:00:00"/>
        <d v="2025-02-25T00:00:00"/>
        <d v="2025-02-27T00:00:00"/>
        <d v="2025-03-02T00:00:00"/>
        <d v="2025-03-05T00:00:00"/>
        <d v="2025-03-07T00:00:00"/>
        <d v="2025-03-09T00:00:00"/>
        <d v="2025-03-14T00:00:00"/>
        <d v="2025-03-15T00:00:00"/>
        <d v="2025-03-16T00:00:00"/>
        <d v="2025-03-17T00:00:00"/>
        <d v="2025-03-19T00:00:00"/>
        <d v="2025-03-21T00:00:00"/>
        <d v="2025-03-24T00:00:00"/>
        <d v="2025-03-25T00:00:00"/>
        <d v="2025-03-26T00:00:00"/>
        <d v="2025-03-27T00:00:00"/>
        <d v="2025-03-28T00:00:00"/>
        <d v="2025-03-29T00:00:00"/>
        <d v="2025-03-30T00:00:00"/>
        <d v="2025-03-31T00:00:00"/>
        <d v="2025-04-01T00:00:00"/>
        <d v="2025-04-02T00:00:00"/>
        <d v="2025-04-03T00:00:00"/>
        <d v="2025-04-06T00:00:00"/>
        <d v="2025-04-07T00:00:00"/>
        <d v="2025-04-08T00:00:00"/>
        <d v="2025-04-11T00:00:00"/>
        <d v="2025-04-12T00:00:00"/>
        <d v="2025-04-13T00:00:00"/>
        <d v="2025-04-15T00:00:00"/>
        <d v="2025-04-19T00:00:00"/>
        <d v="2025-04-20T00:00:00"/>
        <d v="2025-04-21T00:00:00"/>
        <d v="2025-04-27T00:00:00"/>
        <d v="2025-04-28T00:00:00"/>
        <d v="2025-04-29T00:00:00"/>
        <d v="2025-04-30T00:00:00"/>
        <d v="2025-05-01T00:00:00"/>
        <d v="2025-05-05T00:00:00"/>
        <d v="2025-05-08T00:00:00"/>
        <d v="2025-05-09T00:00:00"/>
        <d v="2025-05-10T00:00:00"/>
        <d v="2025-05-11T00:00:00"/>
        <d v="2025-05-12T00:00:00"/>
        <d v="2025-05-18T00:00:00"/>
        <d v="2025-05-22T00:00:00"/>
        <d v="2025-05-24T00:00:00"/>
        <d v="2025-05-26T00:00:00"/>
        <d v="2025-05-29T00:00:00"/>
        <d v="2025-05-30T00:00:00"/>
        <d v="2025-06-02T00:00:00"/>
        <d v="2025-06-04T00:00:00"/>
        <d v="2025-06-05T00:00:00"/>
        <d v="2025-06-07T00:00:00"/>
        <d v="2025-06-08T00:00:00"/>
        <d v="2025-06-11T00:00:00"/>
        <d v="2025-06-12T00:00:00"/>
        <d v="2025-06-13T00:00:00"/>
        <d v="2025-06-14T00:00:00"/>
        <d v="2025-06-16T00:00:00"/>
        <d v="2025-06-20T00:00:00"/>
        <d v="2025-06-23T00:00:00"/>
        <d v="2025-06-24T00:00:00"/>
        <d v="2025-06-25T00:00:00"/>
        <d v="2025-06-27T00:00:00"/>
        <d v="2025-06-28T00:00:00"/>
        <d v="2025-07-02T00:00:00"/>
        <d v="2025-07-03T00:00:00"/>
        <d v="2025-07-04T00:00:00"/>
        <d v="2025-07-05T00:00:00"/>
        <d v="2025-07-06T00:00:00"/>
        <d v="2025-07-07T00:00:00"/>
        <d v="2025-07-14T00:00:00"/>
        <d v="2025-07-15T00:00:00"/>
        <d v="2025-07-17T00:00:00"/>
        <d v="2025-07-18T00:00:00"/>
        <d v="2025-07-26T00:00:00"/>
        <d v="2025-07-28T00:00:00"/>
        <d v="2025-08-01T00:00:00"/>
        <d v="2025-08-04T00:00:00"/>
        <d v="2025-08-07T00:00:00"/>
        <d v="2025-08-08T00:00:00"/>
        <d v="2025-08-09T00:00:00"/>
        <d v="2025-08-10T00:00:00"/>
        <d v="2025-08-11T00:00:00"/>
        <d v="2025-08-13T00:00:00"/>
        <d v="2025-08-14T00:00:00"/>
        <d v="2025-08-17T00:00:00"/>
        <d v="2025-08-18T00:00:00"/>
        <d v="2025-08-19T00:00:00"/>
        <d v="2025-08-20T00:00:00"/>
        <d v="2025-08-22T00:00:00"/>
        <d v="2025-08-23T00:00:00"/>
        <d v="2025-08-26T00:00:00"/>
        <d v="2025-08-29T00:00:00"/>
        <d v="2025-08-30T00:00:00"/>
        <d v="2025-09-01T00:00:00"/>
        <d v="2025-09-02T00:00:00"/>
        <d v="2025-09-03T00:00:00"/>
        <d v="2025-09-04T00:00:00"/>
        <d v="2025-09-07T00:00:00"/>
        <d v="2025-09-09T00:00:00"/>
        <d v="2025-09-10T00:00:00"/>
        <d v="2025-09-11T00:00:00"/>
        <d v="2025-09-13T00:00:00"/>
        <d v="2025-09-14T00:00:00"/>
        <d v="2025-09-15T00:00:00"/>
        <d v="2025-09-16T00:00:00"/>
        <d v="2025-09-17T00:00:00"/>
        <d v="2025-09-20T00:00:00"/>
        <d v="2025-09-21T00:00:00"/>
        <d v="2025-09-24T00:00:00"/>
        <d v="2025-09-25T00:00:00"/>
        <d v="2025-09-26T00:00:00"/>
        <d v="2025-09-27T00:00:00"/>
        <d v="2025-09-28T00:00:00"/>
        <d v="2025-09-29T00:00:00"/>
        <d v="2025-10-01T00:00:00"/>
        <d v="2025-10-03T00:00:00"/>
        <d v="2025-10-06T00:00:00"/>
        <d v="2025-10-07T00:00:00"/>
        <d v="2025-10-09T00:00:00"/>
        <d v="2025-10-10T00:00:00"/>
        <d v="2025-10-11T00:00:00"/>
        <d v="2025-10-15T00:00:00"/>
        <d v="2025-10-17T00:00:00"/>
        <d v="2025-10-19T00:00:00"/>
        <d v="2025-10-23T00:00:00"/>
        <d v="2025-10-25T00:00:00"/>
        <d v="2025-10-26T00:00:00"/>
        <d v="2025-10-27T00:00:00"/>
        <d v="2025-10-29T00:00:00"/>
        <d v="2025-10-30T00:00:00"/>
        <d v="2025-10-31T00:00:00"/>
        <d v="2025-11-01T00:00:00"/>
        <d v="2025-11-02T00:00:00"/>
        <d v="2025-11-03T00:00:00"/>
        <d v="2025-11-04T00:00:00"/>
        <d v="2025-11-05T00:00:00"/>
        <d v="2025-11-06T00:00:00"/>
        <d v="2025-11-08T00:00:00"/>
        <d v="2025-11-09T00:00:00"/>
        <d v="2025-11-10T00:00:00"/>
        <d v="2025-11-12T00:00:00"/>
        <d v="2025-11-13T00:00:00"/>
        <d v="2025-11-14T00:00:00"/>
        <d v="2025-11-16T00:00:00"/>
        <d v="2025-11-17T00:00:00"/>
        <d v="2025-11-18T00:00:00"/>
        <d v="2025-11-19T00:00:00"/>
        <d v="2025-11-20T00:00:00"/>
        <d v="2025-11-21T00:00:00"/>
        <d v="2025-11-25T00:00:00"/>
        <d v="2025-11-26T00:00:00"/>
        <d v="2025-11-27T00:00:00"/>
        <d v="2025-11-28T00:00:00"/>
        <d v="2025-12-01T00:00:00"/>
        <d v="2025-12-02T00:00:00"/>
        <d v="2025-12-16T00:00:00"/>
        <d v="2025-12-18T00:00:00"/>
        <d v="2025-12-20T00:00:00"/>
        <d v="2025-12-22T00:00:00"/>
        <d v="2025-12-23T00:00:00"/>
        <d v="2025-12-26T00:00:00"/>
        <d v="2025-12-27T00:00:00"/>
        <d v="2025-12-30T00:00:00"/>
        <d v="2025-12-31T00:00:00"/>
        <d v="2026-01-01T00:00:00"/>
        <d v="2026-01-03T00:00:00"/>
        <d v="2026-01-04T00:00:00"/>
        <d v="2026-01-08T00:00:00"/>
        <d v="2026-01-09T00:00:00"/>
        <d v="2026-01-10T00:00:00"/>
        <d v="2026-01-12T00:00:00"/>
        <d v="2026-01-13T00:00:00"/>
        <d v="2026-01-15T00:00:00"/>
        <d v="2026-01-19T00:00:00"/>
        <d v="2026-01-21T00:00:00"/>
        <d v="2026-01-23T00:00:00"/>
        <d v="2026-01-24T00:00:00"/>
        <d v="2026-01-25T00:00:00"/>
        <d v="2026-01-26T00:00:00"/>
        <d v="2026-01-27T00:00:00"/>
        <d v="2026-01-30T00:00:00"/>
        <d v="2026-01-31T00:00:00"/>
        <d v="2026-02-03T00:00:00"/>
        <d v="2026-02-05T00:00:00"/>
        <d v="2026-02-09T00:00:00"/>
        <d v="2026-02-10T00:00:00"/>
        <d v="2026-02-11T00:00:00"/>
        <d v="2026-02-14T00:00:00"/>
        <d v="2026-02-16T00:00:00"/>
        <d v="2026-02-17T00:00:00"/>
        <d v="2026-02-19T00:00:00"/>
        <d v="2026-02-20T00:00:00"/>
        <d v="2026-02-23T00:00:00"/>
        <d v="2026-02-25T00:00:00"/>
        <d v="2026-02-28T00:00:00"/>
        <d v="2026-03-01T00:00:00"/>
        <d v="2026-03-07T00:00:00"/>
        <d v="2026-03-09T00:00:00"/>
        <d v="2026-03-10T00:00:00"/>
        <d v="2026-03-12T00:00:00"/>
        <d v="2026-03-14T00:00:00"/>
        <d v="2026-03-16T00:00:00"/>
        <d v="2026-03-17T00:00:00"/>
        <d v="2026-03-20T00:00:00"/>
        <d v="2026-03-29T00:00:00"/>
        <d v="2026-03-30T00:00:00"/>
        <d v="2026-03-31T00:00:00"/>
        <d v="2026-04-01T00:00:00"/>
        <d v="2026-04-02T00:00:00"/>
        <d v="2026-04-05T00:00:00"/>
        <d v="2026-04-06T00:00:00"/>
        <d v="2026-04-08T00:00:00"/>
        <d v="2026-04-12T00:00:00"/>
        <d v="2026-04-13T00:00:00"/>
        <d v="2026-04-14T00:00:00"/>
        <d v="2026-04-15T00:00:00"/>
        <d v="2026-04-20T00:00:00"/>
        <d v="2026-04-21T00:00:00"/>
        <d v="2026-04-22T00:00:00"/>
        <d v="2026-04-23T00:00:00"/>
        <d v="2026-04-24T00:00:00"/>
        <d v="2026-04-26T00:00:00"/>
        <d v="2026-04-28T00:00:00"/>
        <d v="2026-04-30T00:00:00"/>
        <d v="2026-05-01T00:00:00"/>
        <d v="2026-05-02T00:00:00"/>
        <d v="2026-05-03T00:00:00"/>
        <d v="2026-05-04T00:00:00"/>
        <d v="2026-05-05T00:00:00"/>
        <d v="2026-05-06T00:00:00"/>
        <d v="2026-05-10T00:00:00"/>
        <d v="2026-05-12T00:00:00"/>
        <d v="2026-05-13T00:00:00"/>
        <d v="2026-05-16T00:00:00"/>
        <d v="2026-05-17T00:00:00"/>
        <d v="2026-05-20T00:00:00"/>
        <d v="2026-05-23T00:00:00"/>
        <d v="2026-05-24T00:00:00"/>
        <d v="2026-05-26T00:00:00"/>
        <d v="2026-05-30T00:00:00"/>
        <d v="2026-05-31T00:00:00"/>
        <d v="2026-06-01T00:00:00"/>
        <d v="2026-06-02T00:00:00"/>
        <d v="2026-06-04T00:00:00"/>
        <d v="2026-06-05T00:00:00"/>
        <d v="2026-06-07T00:00:00"/>
        <d v="2026-06-09T00:00:00"/>
        <d v="2026-06-10T00:00:00"/>
        <d v="2026-06-12T00:00:00"/>
        <d v="2026-06-13T00:00:00"/>
        <d v="2026-06-15T00:00:00"/>
        <d v="2026-06-17T00:00:00"/>
        <d v="2026-06-19T00:00:00"/>
        <d v="2026-06-21T00:00:00"/>
        <d v="2026-06-23T00:00:00"/>
        <d v="2026-06-24T00:00:00"/>
        <d v="2026-06-25T00:00:00"/>
        <d v="2026-06-28T00:00:00"/>
        <d v="2026-06-29T00:00:00"/>
      </sharedItems>
      <fieldGroup par="14"/>
    </cacheField>
    <cacheField name="Product" numFmtId="0">
      <sharedItems count="8">
        <s v="Tablet"/>
        <s v="Desk"/>
        <s v="Headphones"/>
        <s v="Keyboard"/>
        <s v="Office Chair"/>
        <s v="Laptop"/>
        <s v="Monitor"/>
        <s v="Mouse"/>
      </sharedItems>
    </cacheField>
    <cacheField name="Region" numFmtId="0">
      <sharedItems count="4">
        <s v="West"/>
        <s v="North"/>
        <s v="East"/>
        <s v="South"/>
      </sharedItems>
    </cacheField>
    <cacheField name="Channel" numFmtId="0">
      <sharedItems count="2">
        <s v="Online"/>
        <s v="Store"/>
      </sharedItems>
    </cacheField>
    <cacheField name="Salesperson" numFmtId="0">
      <sharedItems/>
    </cacheField>
    <cacheField name="Quantity" numFmtId="0">
      <sharedItems containsSemiMixedTypes="0" containsString="0" containsNumber="1" containsInteger="1" minValue="1" maxValue="6"/>
    </cacheField>
    <cacheField name="Category" numFmtId="0">
      <sharedItems count="3">
        <s v="Electronics"/>
        <s v="Furniture"/>
        <s v="Accessories"/>
      </sharedItems>
    </cacheField>
    <cacheField name="Unit Price" numFmtId="0">
      <sharedItems containsSemiMixedTypes="0" containsString="0" containsNumber="1" containsInteger="1" minValue="850" maxValue="58000"/>
    </cacheField>
    <cacheField name="Discount %" numFmtId="0">
      <sharedItems containsSemiMixedTypes="0" containsString="0" containsNumber="1" minValue="0" maxValue="0.15"/>
    </cacheField>
    <cacheField name="Revenue" numFmtId="0">
      <sharedItems containsSemiMixedTypes="0" containsString="0" containsNumber="1" minValue="765" maxValue="348000" count="158">
        <n v="123500"/>
        <n v="50000"/>
        <n v="2520"/>
        <n v="7980"/>
        <n v="3420"/>
        <n v="9500"/>
        <n v="34960"/>
        <n v="58000"/>
        <n v="15960"/>
        <n v="6840"/>
        <n v="72500"/>
        <n v="2422.5"/>
        <n v="1530"/>
        <n v="8550"/>
        <n v="33120"/>
        <n v="56250"/>
        <n v="75000"/>
        <n v="55100"/>
        <n v="104400"/>
        <n v="1445"/>
        <n v="5040"/>
        <n v="49680"/>
        <n v="3230"/>
        <n v="850"/>
        <n v="87000"/>
        <n v="5100"/>
        <n v="10640"/>
        <n v="16560"/>
        <n v="52200"/>
        <n v="68875"/>
        <n v="261000"/>
        <n v="24700"/>
        <n v="15120"/>
        <n v="7600"/>
        <n v="70200"/>
        <n v="110200"/>
        <n v="208800"/>
        <n v="765"/>
        <n v="24840"/>
        <n v="14000"/>
        <n v="4845"/>
        <n v="220400"/>
        <n v="82650"/>
        <n v="330600"/>
        <n v="116000"/>
        <n v="22100"/>
        <n v="174000"/>
        <n v="11875"/>
        <n v="27550"/>
        <n v="13775"/>
        <n v="1805"/>
        <n v="12600"/>
        <n v="10080"/>
        <n v="275500"/>
        <n v="78000"/>
        <n v="39150"/>
        <n v="1900"/>
        <n v="23400"/>
        <n v="12325"/>
        <n v="8400"/>
        <n v="10260"/>
        <n v="232000"/>
        <n v="5415"/>
        <n v="7820"/>
        <n v="3400"/>
        <n v="74100"/>
        <n v="5130"/>
        <n v="36800"/>
        <n v="62500"/>
        <n v="11400"/>
        <n v="46800"/>
        <n v="12500"/>
        <n v="13050"/>
        <n v="43500"/>
        <n v="27600"/>
        <n v="78300"/>
        <n v="8740"/>
        <n v="1710"/>
        <n v="23750"/>
        <n v="24650"/>
        <n v="5600"/>
        <n v="33750"/>
        <n v="46000"/>
        <n v="41400"/>
        <n v="3612.5"/>
        <n v="130000"/>
        <n v="4335"/>
        <n v="59375"/>
        <n v="26220"/>
        <n v="807.5"/>
        <n v="65250"/>
        <n v="7560"/>
        <n v="1700"/>
        <n v="16800"/>
        <n v="3060"/>
        <n v="8280"/>
        <n v="31280"/>
        <n v="44200"/>
        <n v="156600"/>
        <n v="5700"/>
        <n v="88400"/>
        <n v="13300"/>
        <n v="7220"/>
        <n v="11200"/>
        <n v="93600"/>
        <n v="10830"/>
        <n v="43700"/>
        <n v="71250"/>
        <n v="3825"/>
        <n v="52440"/>
        <n v="39100"/>
        <n v="2167.5"/>
        <n v="3800"/>
        <n v="47500"/>
        <n v="67500"/>
        <n v="26100"/>
        <n v="313200"/>
        <n v="14500"/>
        <n v="23460"/>
        <n v="22500"/>
        <n v="5320"/>
        <n v="104000"/>
        <n v="2295"/>
        <n v="148200"/>
        <n v="36975"/>
        <n v="2800"/>
        <n v="15640"/>
        <n v="117000"/>
        <n v="348000"/>
        <n v="4250"/>
        <n v="17480"/>
        <n v="165300"/>
        <n v="11250"/>
        <n v="53125"/>
        <n v="9200"/>
        <n v="290000"/>
        <n v="25000"/>
        <n v="37500"/>
        <n v="110500"/>
        <n v="2890"/>
        <n v="26000"/>
        <n v="41325"/>
        <n v="2660"/>
        <n v="4590"/>
        <n v="4037.5"/>
        <n v="2380"/>
        <n v="197200"/>
        <n v="35625"/>
        <n v="55200"/>
        <n v="4760"/>
        <n v="14280"/>
        <n v="46920"/>
        <n v="45000"/>
        <n v="147900"/>
        <n v="66300"/>
        <n v="3610"/>
        <n v="10625"/>
        <n v="140400"/>
      </sharedItems>
    </cacheField>
    <cacheField name="Month" numFmtId="17">
      <sharedItems containsSemiMixedTypes="0" containsNonDate="0" containsDate="1" containsString="0" minDate="2025-01-01T00:00:00" maxDate="2026-06-02T00:00:00" count="18">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sharedItems>
    </cacheField>
    <cacheField name="Months (Date)" numFmtId="0" databaseField="0">
      <fieldGroup base="1">
        <rangePr groupBy="months" startDate="2025-01-01T00:00:00" endDate="2026-06-30T00:00:00"/>
        <groupItems count="14">
          <s v="&lt;01-01-2025"/>
          <s v="Jan"/>
          <s v="Feb"/>
          <s v="Mar"/>
          <s v="Apr"/>
          <s v="May"/>
          <s v="Jun"/>
          <s v="Jul"/>
          <s v="Aug"/>
          <s v="Sep"/>
          <s v="Oct"/>
          <s v="Nov"/>
          <s v="Dec"/>
          <s v="&gt;30-06-2026"/>
        </groupItems>
      </fieldGroup>
    </cacheField>
    <cacheField name="Quarters (Date)" numFmtId="0" databaseField="0">
      <fieldGroup base="1">
        <rangePr groupBy="quarters" startDate="2025-01-01T00:00:00" endDate="2026-06-30T00:00:00"/>
        <groupItems count="6">
          <s v="&lt;01-01-2025"/>
          <s v="Qtr1"/>
          <s v="Qtr2"/>
          <s v="Qtr3"/>
          <s v="Qtr4"/>
          <s v="&gt;30-06-2026"/>
        </groupItems>
      </fieldGroup>
    </cacheField>
    <cacheField name="Years (Date)" numFmtId="0" databaseField="0">
      <fieldGroup base="1">
        <rangePr groupBy="years" startDate="2025-01-01T00:00:00" endDate="2026-06-30T00:00:00"/>
        <groupItems count="4">
          <s v="&lt;01-01-2025"/>
          <s v="2025"/>
          <s v="2026"/>
          <s v="&gt;30-06-2026"/>
        </groupItems>
      </fieldGroup>
    </cacheField>
  </cacheFields>
  <extLst>
    <ext xmlns:x14="http://schemas.microsoft.com/office/spreadsheetml/2009/9/main" uri="{725AE2AE-9491-48be-B2B4-4EB974FC3084}">
      <x14:pivotCacheDefinition pivotCacheId="14174978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s v="ORD-0175"/>
    <x v="0"/>
    <x v="0"/>
    <x v="0"/>
    <x v="0"/>
    <s v="Diya"/>
    <n v="5"/>
    <x v="0"/>
    <n v="26000"/>
    <n v="0.05"/>
    <x v="0"/>
    <x v="0"/>
  </r>
  <r>
    <s v="ORD-0183"/>
    <x v="1"/>
    <x v="1"/>
    <x v="1"/>
    <x v="1"/>
    <s v="Aarav"/>
    <n v="4"/>
    <x v="1"/>
    <n v="12500"/>
    <n v="0"/>
    <x v="1"/>
    <x v="0"/>
  </r>
  <r>
    <s v="ORD-0116"/>
    <x v="1"/>
    <x v="2"/>
    <x v="0"/>
    <x v="0"/>
    <s v="Rohan"/>
    <n v="1"/>
    <x v="2"/>
    <n v="2800"/>
    <n v="0.1"/>
    <x v="2"/>
    <x v="0"/>
  </r>
  <r>
    <s v="ORD-0024"/>
    <x v="2"/>
    <x v="2"/>
    <x v="2"/>
    <x v="0"/>
    <s v="Kabir"/>
    <n v="3"/>
    <x v="2"/>
    <n v="2800"/>
    <n v="0.05"/>
    <x v="3"/>
    <x v="0"/>
  </r>
  <r>
    <s v="ORD-0327"/>
    <x v="3"/>
    <x v="3"/>
    <x v="1"/>
    <x v="1"/>
    <s v="Anaya"/>
    <n v="2"/>
    <x v="2"/>
    <n v="1900"/>
    <n v="0.1"/>
    <x v="4"/>
    <x v="0"/>
  </r>
  <r>
    <s v="ORD-0091"/>
    <x v="4"/>
    <x v="3"/>
    <x v="0"/>
    <x v="1"/>
    <s v="Rohan"/>
    <n v="5"/>
    <x v="2"/>
    <n v="1900"/>
    <n v="0"/>
    <x v="5"/>
    <x v="0"/>
  </r>
  <r>
    <s v="ORD-0030"/>
    <x v="5"/>
    <x v="4"/>
    <x v="2"/>
    <x v="0"/>
    <s v="Kabir"/>
    <n v="4"/>
    <x v="1"/>
    <n v="9200"/>
    <n v="0.05"/>
    <x v="6"/>
    <x v="0"/>
  </r>
  <r>
    <s v="ORD-0170"/>
    <x v="5"/>
    <x v="5"/>
    <x v="2"/>
    <x v="0"/>
    <s v="Rohan"/>
    <n v="1"/>
    <x v="0"/>
    <n v="58000"/>
    <n v="0"/>
    <x v="7"/>
    <x v="0"/>
  </r>
  <r>
    <s v="ORD-0171"/>
    <x v="6"/>
    <x v="2"/>
    <x v="0"/>
    <x v="0"/>
    <s v="Diya"/>
    <n v="6"/>
    <x v="2"/>
    <n v="2800"/>
    <n v="0.05"/>
    <x v="8"/>
    <x v="0"/>
  </r>
  <r>
    <s v="ORD-0346"/>
    <x v="7"/>
    <x v="3"/>
    <x v="2"/>
    <x v="0"/>
    <s v="Aarav"/>
    <n v="4"/>
    <x v="2"/>
    <n v="1900"/>
    <n v="0.1"/>
    <x v="9"/>
    <x v="0"/>
  </r>
  <r>
    <s v="ORD-0414"/>
    <x v="8"/>
    <x v="6"/>
    <x v="0"/>
    <x v="1"/>
    <s v="Meera"/>
    <n v="4"/>
    <x v="0"/>
    <n v="14500"/>
    <n v="0"/>
    <x v="7"/>
    <x v="0"/>
  </r>
  <r>
    <s v="ORD-0293"/>
    <x v="9"/>
    <x v="6"/>
    <x v="0"/>
    <x v="1"/>
    <s v="Aarav"/>
    <n v="5"/>
    <x v="0"/>
    <n v="14500"/>
    <n v="0"/>
    <x v="10"/>
    <x v="0"/>
  </r>
  <r>
    <s v="ORD-0011"/>
    <x v="10"/>
    <x v="7"/>
    <x v="3"/>
    <x v="0"/>
    <s v="Kabir"/>
    <n v="3"/>
    <x v="2"/>
    <n v="850"/>
    <n v="0.05"/>
    <x v="11"/>
    <x v="0"/>
  </r>
  <r>
    <s v="ORD-0328"/>
    <x v="11"/>
    <x v="4"/>
    <x v="0"/>
    <x v="0"/>
    <s v="Rohan"/>
    <n v="4"/>
    <x v="1"/>
    <n v="9200"/>
    <n v="0.05"/>
    <x v="6"/>
    <x v="0"/>
  </r>
  <r>
    <s v="ORD-0049"/>
    <x v="12"/>
    <x v="7"/>
    <x v="3"/>
    <x v="0"/>
    <s v="Anaya"/>
    <n v="2"/>
    <x v="2"/>
    <n v="850"/>
    <n v="0.1"/>
    <x v="12"/>
    <x v="0"/>
  </r>
  <r>
    <s v="ORD-0099"/>
    <x v="12"/>
    <x v="3"/>
    <x v="1"/>
    <x v="0"/>
    <s v="Diya"/>
    <n v="5"/>
    <x v="2"/>
    <n v="1900"/>
    <n v="0.1"/>
    <x v="13"/>
    <x v="0"/>
  </r>
  <r>
    <s v="ORD-0136"/>
    <x v="13"/>
    <x v="7"/>
    <x v="2"/>
    <x v="0"/>
    <s v="Aarav"/>
    <n v="3"/>
    <x v="2"/>
    <n v="850"/>
    <n v="0.05"/>
    <x v="11"/>
    <x v="0"/>
  </r>
  <r>
    <s v="ORD-0182"/>
    <x v="14"/>
    <x v="4"/>
    <x v="1"/>
    <x v="0"/>
    <s v="Meera"/>
    <n v="4"/>
    <x v="1"/>
    <n v="9200"/>
    <n v="0.1"/>
    <x v="14"/>
    <x v="0"/>
  </r>
  <r>
    <s v="ORD-0395"/>
    <x v="14"/>
    <x v="2"/>
    <x v="0"/>
    <x v="0"/>
    <s v="Kabir"/>
    <n v="6"/>
    <x v="2"/>
    <n v="2800"/>
    <n v="0.05"/>
    <x v="8"/>
    <x v="0"/>
  </r>
  <r>
    <s v="ORD-0375"/>
    <x v="15"/>
    <x v="1"/>
    <x v="1"/>
    <x v="0"/>
    <s v="Anaya"/>
    <n v="5"/>
    <x v="1"/>
    <n v="12500"/>
    <n v="0.1"/>
    <x v="15"/>
    <x v="0"/>
  </r>
  <r>
    <s v="ORD-0034"/>
    <x v="16"/>
    <x v="1"/>
    <x v="1"/>
    <x v="0"/>
    <s v="Rohan"/>
    <n v="6"/>
    <x v="1"/>
    <n v="12500"/>
    <n v="0"/>
    <x v="16"/>
    <x v="0"/>
  </r>
  <r>
    <s v="ORD-0152"/>
    <x v="16"/>
    <x v="6"/>
    <x v="3"/>
    <x v="0"/>
    <s v="Aarav"/>
    <n v="4"/>
    <x v="0"/>
    <n v="14500"/>
    <n v="0.05"/>
    <x v="17"/>
    <x v="0"/>
  </r>
  <r>
    <s v="ORD-0350"/>
    <x v="17"/>
    <x v="5"/>
    <x v="0"/>
    <x v="1"/>
    <s v="Diya"/>
    <n v="2"/>
    <x v="0"/>
    <n v="58000"/>
    <n v="0.1"/>
    <x v="18"/>
    <x v="0"/>
  </r>
  <r>
    <s v="ORD-0333"/>
    <x v="18"/>
    <x v="7"/>
    <x v="2"/>
    <x v="0"/>
    <s v="Aarav"/>
    <n v="2"/>
    <x v="2"/>
    <n v="850"/>
    <n v="0.15"/>
    <x v="19"/>
    <x v="0"/>
  </r>
  <r>
    <s v="ORD-0016"/>
    <x v="18"/>
    <x v="2"/>
    <x v="1"/>
    <x v="0"/>
    <s v="Meera"/>
    <n v="2"/>
    <x v="2"/>
    <n v="2800"/>
    <n v="0.1"/>
    <x v="20"/>
    <x v="0"/>
  </r>
  <r>
    <s v="ORD-0007"/>
    <x v="19"/>
    <x v="4"/>
    <x v="0"/>
    <x v="0"/>
    <s v="Meera"/>
    <n v="6"/>
    <x v="1"/>
    <n v="9200"/>
    <n v="0.1"/>
    <x v="21"/>
    <x v="1"/>
  </r>
  <r>
    <s v="ORD-0151"/>
    <x v="19"/>
    <x v="3"/>
    <x v="0"/>
    <x v="0"/>
    <s v="Rohan"/>
    <n v="2"/>
    <x v="2"/>
    <n v="1900"/>
    <n v="0.15"/>
    <x v="22"/>
    <x v="1"/>
  </r>
  <r>
    <s v="ORD-0342"/>
    <x v="20"/>
    <x v="7"/>
    <x v="1"/>
    <x v="1"/>
    <s v="Meera"/>
    <n v="1"/>
    <x v="2"/>
    <n v="850"/>
    <n v="0"/>
    <x v="23"/>
    <x v="1"/>
  </r>
  <r>
    <s v="ORD-0021"/>
    <x v="20"/>
    <x v="7"/>
    <x v="2"/>
    <x v="1"/>
    <s v="Meera"/>
    <n v="1"/>
    <x v="2"/>
    <n v="850"/>
    <n v="0"/>
    <x v="23"/>
    <x v="1"/>
  </r>
  <r>
    <s v="ORD-0240"/>
    <x v="20"/>
    <x v="6"/>
    <x v="3"/>
    <x v="1"/>
    <s v="Aarav"/>
    <n v="6"/>
    <x v="0"/>
    <n v="14500"/>
    <n v="0"/>
    <x v="24"/>
    <x v="1"/>
  </r>
  <r>
    <s v="ORD-0044"/>
    <x v="21"/>
    <x v="7"/>
    <x v="1"/>
    <x v="1"/>
    <s v="Kabir"/>
    <n v="6"/>
    <x v="2"/>
    <n v="850"/>
    <n v="0"/>
    <x v="25"/>
    <x v="1"/>
  </r>
  <r>
    <s v="ORD-0202"/>
    <x v="22"/>
    <x v="6"/>
    <x v="3"/>
    <x v="1"/>
    <s v="Kabir"/>
    <n v="4"/>
    <x v="0"/>
    <n v="14500"/>
    <n v="0.05"/>
    <x v="17"/>
    <x v="1"/>
  </r>
  <r>
    <s v="ORD-0308"/>
    <x v="23"/>
    <x v="2"/>
    <x v="0"/>
    <x v="0"/>
    <s v="Kabir"/>
    <n v="3"/>
    <x v="2"/>
    <n v="2800"/>
    <n v="0.05"/>
    <x v="3"/>
    <x v="1"/>
  </r>
  <r>
    <s v="ORD-0358"/>
    <x v="24"/>
    <x v="2"/>
    <x v="3"/>
    <x v="0"/>
    <s v="Rohan"/>
    <n v="4"/>
    <x v="2"/>
    <n v="2800"/>
    <n v="0.05"/>
    <x v="26"/>
    <x v="1"/>
  </r>
  <r>
    <s v="ORD-0070"/>
    <x v="25"/>
    <x v="4"/>
    <x v="2"/>
    <x v="0"/>
    <s v="Anaya"/>
    <n v="2"/>
    <x v="1"/>
    <n v="9200"/>
    <n v="0.1"/>
    <x v="27"/>
    <x v="1"/>
  </r>
  <r>
    <s v="ORD-0012"/>
    <x v="26"/>
    <x v="5"/>
    <x v="2"/>
    <x v="0"/>
    <s v="Diya"/>
    <n v="1"/>
    <x v="0"/>
    <n v="58000"/>
    <n v="0.1"/>
    <x v="28"/>
    <x v="1"/>
  </r>
  <r>
    <s v="ORD-0337"/>
    <x v="27"/>
    <x v="7"/>
    <x v="1"/>
    <x v="0"/>
    <s v="Anaya"/>
    <n v="2"/>
    <x v="2"/>
    <n v="850"/>
    <n v="0.1"/>
    <x v="12"/>
    <x v="1"/>
  </r>
  <r>
    <s v="ORD-0060"/>
    <x v="27"/>
    <x v="6"/>
    <x v="2"/>
    <x v="0"/>
    <s v="Aarav"/>
    <n v="5"/>
    <x v="0"/>
    <n v="14500"/>
    <n v="0.05"/>
    <x v="29"/>
    <x v="1"/>
  </r>
  <r>
    <s v="ORD-0025"/>
    <x v="28"/>
    <x v="5"/>
    <x v="3"/>
    <x v="0"/>
    <s v="Aarav"/>
    <n v="5"/>
    <x v="0"/>
    <n v="58000"/>
    <n v="0.1"/>
    <x v="30"/>
    <x v="1"/>
  </r>
  <r>
    <s v="ORD-0181"/>
    <x v="29"/>
    <x v="0"/>
    <x v="1"/>
    <x v="1"/>
    <s v="Kabir"/>
    <n v="1"/>
    <x v="0"/>
    <n v="26000"/>
    <n v="0.05"/>
    <x v="31"/>
    <x v="1"/>
  </r>
  <r>
    <s v="ORD-0387"/>
    <x v="30"/>
    <x v="2"/>
    <x v="3"/>
    <x v="0"/>
    <s v="Diya"/>
    <n v="6"/>
    <x v="2"/>
    <n v="2800"/>
    <n v="0.1"/>
    <x v="32"/>
    <x v="1"/>
  </r>
  <r>
    <s v="ORD-0385"/>
    <x v="30"/>
    <x v="3"/>
    <x v="1"/>
    <x v="0"/>
    <s v="Aarav"/>
    <n v="4"/>
    <x v="2"/>
    <n v="1900"/>
    <n v="0"/>
    <x v="33"/>
    <x v="1"/>
  </r>
  <r>
    <s v="ORD-0351"/>
    <x v="30"/>
    <x v="0"/>
    <x v="0"/>
    <x v="0"/>
    <s v="Anaya"/>
    <n v="3"/>
    <x v="0"/>
    <n v="26000"/>
    <n v="0.1"/>
    <x v="34"/>
    <x v="1"/>
  </r>
  <r>
    <s v="ORD-0028"/>
    <x v="30"/>
    <x v="5"/>
    <x v="3"/>
    <x v="0"/>
    <s v="Anaya"/>
    <n v="2"/>
    <x v="0"/>
    <n v="58000"/>
    <n v="0.05"/>
    <x v="35"/>
    <x v="1"/>
  </r>
  <r>
    <s v="ORD-0391"/>
    <x v="31"/>
    <x v="5"/>
    <x v="0"/>
    <x v="1"/>
    <s v="Meera"/>
    <n v="4"/>
    <x v="0"/>
    <n v="58000"/>
    <n v="0.1"/>
    <x v="36"/>
    <x v="1"/>
  </r>
  <r>
    <s v="ORD-0302"/>
    <x v="32"/>
    <x v="7"/>
    <x v="2"/>
    <x v="0"/>
    <s v="Meera"/>
    <n v="1"/>
    <x v="2"/>
    <n v="850"/>
    <n v="0.1"/>
    <x v="37"/>
    <x v="1"/>
  </r>
  <r>
    <s v="ORD-0103"/>
    <x v="33"/>
    <x v="7"/>
    <x v="1"/>
    <x v="0"/>
    <s v="Meera"/>
    <n v="4"/>
    <x v="2"/>
    <n v="850"/>
    <n v="0.05"/>
    <x v="22"/>
    <x v="1"/>
  </r>
  <r>
    <s v="ORD-0120"/>
    <x v="34"/>
    <x v="4"/>
    <x v="0"/>
    <x v="0"/>
    <s v="Diya"/>
    <n v="3"/>
    <x v="1"/>
    <n v="9200"/>
    <n v="0.1"/>
    <x v="38"/>
    <x v="1"/>
  </r>
  <r>
    <s v="ORD-0341"/>
    <x v="35"/>
    <x v="2"/>
    <x v="3"/>
    <x v="1"/>
    <s v="Rohan"/>
    <n v="5"/>
    <x v="2"/>
    <n v="2800"/>
    <n v="0"/>
    <x v="39"/>
    <x v="2"/>
  </r>
  <r>
    <s v="ORD-0309"/>
    <x v="36"/>
    <x v="7"/>
    <x v="3"/>
    <x v="1"/>
    <s v="Diya"/>
    <n v="2"/>
    <x v="2"/>
    <n v="850"/>
    <n v="0.1"/>
    <x v="12"/>
    <x v="2"/>
  </r>
  <r>
    <s v="ORD-0033"/>
    <x v="36"/>
    <x v="7"/>
    <x v="3"/>
    <x v="1"/>
    <s v="Meera"/>
    <n v="6"/>
    <x v="2"/>
    <n v="850"/>
    <n v="0.05"/>
    <x v="40"/>
    <x v="2"/>
  </r>
  <r>
    <s v="ORD-0208"/>
    <x v="37"/>
    <x v="5"/>
    <x v="2"/>
    <x v="0"/>
    <s v="Meera"/>
    <n v="4"/>
    <x v="0"/>
    <n v="58000"/>
    <n v="0.05"/>
    <x v="41"/>
    <x v="2"/>
  </r>
  <r>
    <s v="ORD-0388"/>
    <x v="37"/>
    <x v="6"/>
    <x v="3"/>
    <x v="1"/>
    <s v="Anaya"/>
    <n v="6"/>
    <x v="0"/>
    <n v="14500"/>
    <n v="0.05"/>
    <x v="42"/>
    <x v="2"/>
  </r>
  <r>
    <s v="ORD-0119"/>
    <x v="38"/>
    <x v="5"/>
    <x v="3"/>
    <x v="0"/>
    <s v="Meera"/>
    <n v="6"/>
    <x v="0"/>
    <n v="58000"/>
    <n v="0.05"/>
    <x v="43"/>
    <x v="2"/>
  </r>
  <r>
    <s v="ORD-0287"/>
    <x v="39"/>
    <x v="5"/>
    <x v="3"/>
    <x v="0"/>
    <s v="Meera"/>
    <n v="2"/>
    <x v="0"/>
    <n v="58000"/>
    <n v="0"/>
    <x v="44"/>
    <x v="2"/>
  </r>
  <r>
    <s v="ORD-0371"/>
    <x v="40"/>
    <x v="6"/>
    <x v="1"/>
    <x v="0"/>
    <s v="Aarav"/>
    <n v="4"/>
    <x v="0"/>
    <n v="14500"/>
    <n v="0.1"/>
    <x v="28"/>
    <x v="2"/>
  </r>
  <r>
    <s v="ORD-0185"/>
    <x v="41"/>
    <x v="0"/>
    <x v="0"/>
    <x v="1"/>
    <s v="Meera"/>
    <n v="1"/>
    <x v="0"/>
    <n v="26000"/>
    <n v="0.15"/>
    <x v="45"/>
    <x v="2"/>
  </r>
  <r>
    <s v="ORD-0054"/>
    <x v="41"/>
    <x v="5"/>
    <x v="0"/>
    <x v="0"/>
    <s v="Rohan"/>
    <n v="3"/>
    <x v="0"/>
    <n v="58000"/>
    <n v="0"/>
    <x v="46"/>
    <x v="2"/>
  </r>
  <r>
    <s v="ORD-0139"/>
    <x v="42"/>
    <x v="4"/>
    <x v="2"/>
    <x v="1"/>
    <s v="Diya"/>
    <n v="3"/>
    <x v="1"/>
    <n v="9200"/>
    <n v="0.1"/>
    <x v="38"/>
    <x v="2"/>
  </r>
  <r>
    <s v="ORD-0166"/>
    <x v="43"/>
    <x v="7"/>
    <x v="0"/>
    <x v="0"/>
    <s v="Meera"/>
    <n v="3"/>
    <x v="2"/>
    <n v="850"/>
    <n v="0.05"/>
    <x v="11"/>
    <x v="2"/>
  </r>
  <r>
    <s v="ORD-0274"/>
    <x v="44"/>
    <x v="1"/>
    <x v="3"/>
    <x v="0"/>
    <s v="Anaya"/>
    <n v="1"/>
    <x v="1"/>
    <n v="12500"/>
    <n v="0.05"/>
    <x v="47"/>
    <x v="2"/>
  </r>
  <r>
    <s v="ORD-0296"/>
    <x v="45"/>
    <x v="6"/>
    <x v="1"/>
    <x v="0"/>
    <s v="Kabir"/>
    <n v="2"/>
    <x v="0"/>
    <n v="14500"/>
    <n v="0.05"/>
    <x v="48"/>
    <x v="2"/>
  </r>
  <r>
    <s v="ORD-0123"/>
    <x v="46"/>
    <x v="6"/>
    <x v="3"/>
    <x v="0"/>
    <s v="Diya"/>
    <n v="1"/>
    <x v="0"/>
    <n v="14500"/>
    <n v="0.05"/>
    <x v="49"/>
    <x v="2"/>
  </r>
  <r>
    <s v="ORD-0369"/>
    <x v="46"/>
    <x v="4"/>
    <x v="1"/>
    <x v="0"/>
    <s v="Diya"/>
    <n v="4"/>
    <x v="1"/>
    <n v="9200"/>
    <n v="0.05"/>
    <x v="6"/>
    <x v="2"/>
  </r>
  <r>
    <s v="ORD-0219"/>
    <x v="47"/>
    <x v="7"/>
    <x v="3"/>
    <x v="0"/>
    <s v="Anaya"/>
    <n v="1"/>
    <x v="2"/>
    <n v="850"/>
    <n v="0"/>
    <x v="23"/>
    <x v="2"/>
  </r>
  <r>
    <s v="ORD-0255"/>
    <x v="48"/>
    <x v="5"/>
    <x v="3"/>
    <x v="0"/>
    <s v="Rohan"/>
    <n v="1"/>
    <x v="0"/>
    <n v="58000"/>
    <n v="0"/>
    <x v="7"/>
    <x v="2"/>
  </r>
  <r>
    <s v="ORD-0130"/>
    <x v="48"/>
    <x v="1"/>
    <x v="0"/>
    <x v="0"/>
    <s v="Diya"/>
    <n v="5"/>
    <x v="1"/>
    <n v="12500"/>
    <n v="0.1"/>
    <x v="15"/>
    <x v="2"/>
  </r>
  <r>
    <s v="ORD-0288"/>
    <x v="48"/>
    <x v="3"/>
    <x v="0"/>
    <x v="1"/>
    <s v="Rohan"/>
    <n v="1"/>
    <x v="2"/>
    <n v="1900"/>
    <n v="0.05"/>
    <x v="50"/>
    <x v="2"/>
  </r>
  <r>
    <s v="ORD-0233"/>
    <x v="48"/>
    <x v="2"/>
    <x v="1"/>
    <x v="1"/>
    <s v="Meera"/>
    <n v="5"/>
    <x v="2"/>
    <n v="2800"/>
    <n v="0.1"/>
    <x v="51"/>
    <x v="2"/>
  </r>
  <r>
    <s v="ORD-0260"/>
    <x v="49"/>
    <x v="2"/>
    <x v="0"/>
    <x v="1"/>
    <s v="Aarav"/>
    <n v="4"/>
    <x v="2"/>
    <n v="2800"/>
    <n v="0.1"/>
    <x v="52"/>
    <x v="2"/>
  </r>
  <r>
    <s v="ORD-0378"/>
    <x v="50"/>
    <x v="5"/>
    <x v="0"/>
    <x v="1"/>
    <s v="Diya"/>
    <n v="5"/>
    <x v="0"/>
    <n v="58000"/>
    <n v="0.05"/>
    <x v="53"/>
    <x v="2"/>
  </r>
  <r>
    <s v="ORD-0295"/>
    <x v="50"/>
    <x v="0"/>
    <x v="0"/>
    <x v="0"/>
    <s v="Diya"/>
    <n v="3"/>
    <x v="0"/>
    <n v="26000"/>
    <n v="0"/>
    <x v="54"/>
    <x v="2"/>
  </r>
  <r>
    <s v="ORD-0178"/>
    <x v="51"/>
    <x v="6"/>
    <x v="0"/>
    <x v="0"/>
    <s v="Meera"/>
    <n v="3"/>
    <x v="0"/>
    <n v="14500"/>
    <n v="0.1"/>
    <x v="55"/>
    <x v="2"/>
  </r>
  <r>
    <s v="ORD-0078"/>
    <x v="52"/>
    <x v="3"/>
    <x v="3"/>
    <x v="0"/>
    <s v="Meera"/>
    <n v="1"/>
    <x v="2"/>
    <n v="1900"/>
    <n v="0"/>
    <x v="56"/>
    <x v="2"/>
  </r>
  <r>
    <s v="ORD-0104"/>
    <x v="53"/>
    <x v="0"/>
    <x v="0"/>
    <x v="1"/>
    <s v="Diya"/>
    <n v="1"/>
    <x v="0"/>
    <n v="26000"/>
    <n v="0.1"/>
    <x v="57"/>
    <x v="3"/>
  </r>
  <r>
    <s v="ORD-0235"/>
    <x v="53"/>
    <x v="6"/>
    <x v="0"/>
    <x v="1"/>
    <s v="Meera"/>
    <n v="1"/>
    <x v="0"/>
    <n v="14500"/>
    <n v="0.15"/>
    <x v="58"/>
    <x v="3"/>
  </r>
  <r>
    <s v="ORD-0347"/>
    <x v="54"/>
    <x v="2"/>
    <x v="2"/>
    <x v="0"/>
    <s v="Rohan"/>
    <n v="3"/>
    <x v="2"/>
    <n v="2800"/>
    <n v="0"/>
    <x v="59"/>
    <x v="3"/>
  </r>
  <r>
    <s v="ORD-0035"/>
    <x v="54"/>
    <x v="3"/>
    <x v="0"/>
    <x v="0"/>
    <s v="Rohan"/>
    <n v="6"/>
    <x v="2"/>
    <n v="1900"/>
    <n v="0.1"/>
    <x v="60"/>
    <x v="3"/>
  </r>
  <r>
    <s v="ORD-0222"/>
    <x v="55"/>
    <x v="4"/>
    <x v="1"/>
    <x v="0"/>
    <s v="Aarav"/>
    <n v="4"/>
    <x v="1"/>
    <n v="9200"/>
    <n v="0.05"/>
    <x v="6"/>
    <x v="3"/>
  </r>
  <r>
    <s v="ORD-0316"/>
    <x v="55"/>
    <x v="5"/>
    <x v="1"/>
    <x v="0"/>
    <s v="Kabir"/>
    <n v="4"/>
    <x v="0"/>
    <n v="58000"/>
    <n v="0"/>
    <x v="61"/>
    <x v="3"/>
  </r>
  <r>
    <s v="ORD-0313"/>
    <x v="56"/>
    <x v="3"/>
    <x v="3"/>
    <x v="0"/>
    <s v="Aarav"/>
    <n v="3"/>
    <x v="2"/>
    <n v="1900"/>
    <n v="0.05"/>
    <x v="62"/>
    <x v="3"/>
  </r>
  <r>
    <s v="ORD-0382"/>
    <x v="57"/>
    <x v="4"/>
    <x v="1"/>
    <x v="1"/>
    <s v="Rohan"/>
    <n v="1"/>
    <x v="1"/>
    <n v="9200"/>
    <n v="0.15"/>
    <x v="63"/>
    <x v="3"/>
  </r>
  <r>
    <s v="ORD-0354"/>
    <x v="58"/>
    <x v="4"/>
    <x v="3"/>
    <x v="0"/>
    <s v="Aarav"/>
    <n v="2"/>
    <x v="1"/>
    <n v="9200"/>
    <n v="0.1"/>
    <x v="27"/>
    <x v="3"/>
  </r>
  <r>
    <s v="ORD-0197"/>
    <x v="59"/>
    <x v="7"/>
    <x v="3"/>
    <x v="1"/>
    <s v="Meera"/>
    <n v="4"/>
    <x v="2"/>
    <n v="850"/>
    <n v="0"/>
    <x v="64"/>
    <x v="3"/>
  </r>
  <r>
    <s v="ORD-0363"/>
    <x v="60"/>
    <x v="0"/>
    <x v="0"/>
    <x v="1"/>
    <s v="Anaya"/>
    <n v="3"/>
    <x v="0"/>
    <n v="26000"/>
    <n v="0.05"/>
    <x v="65"/>
    <x v="3"/>
  </r>
  <r>
    <s v="ORD-0243"/>
    <x v="60"/>
    <x v="3"/>
    <x v="0"/>
    <x v="1"/>
    <s v="Diya"/>
    <n v="3"/>
    <x v="2"/>
    <n v="1900"/>
    <n v="0.1"/>
    <x v="66"/>
    <x v="3"/>
  </r>
  <r>
    <s v="ORD-0325"/>
    <x v="61"/>
    <x v="4"/>
    <x v="1"/>
    <x v="1"/>
    <s v="Meera"/>
    <n v="4"/>
    <x v="1"/>
    <n v="9200"/>
    <n v="0"/>
    <x v="67"/>
    <x v="3"/>
  </r>
  <r>
    <s v="ORD-0131"/>
    <x v="62"/>
    <x v="3"/>
    <x v="1"/>
    <x v="1"/>
    <s v="Meera"/>
    <n v="3"/>
    <x v="2"/>
    <n v="1900"/>
    <n v="0.05"/>
    <x v="62"/>
    <x v="3"/>
  </r>
  <r>
    <s v="ORD-0320"/>
    <x v="63"/>
    <x v="7"/>
    <x v="2"/>
    <x v="0"/>
    <s v="Anaya"/>
    <n v="4"/>
    <x v="2"/>
    <n v="850"/>
    <n v="0.05"/>
    <x v="22"/>
    <x v="3"/>
  </r>
  <r>
    <s v="ORD-0356"/>
    <x v="64"/>
    <x v="4"/>
    <x v="2"/>
    <x v="1"/>
    <s v="Anaya"/>
    <n v="6"/>
    <x v="1"/>
    <n v="9200"/>
    <n v="0.1"/>
    <x v="21"/>
    <x v="3"/>
  </r>
  <r>
    <s v="ORD-0058"/>
    <x v="65"/>
    <x v="3"/>
    <x v="0"/>
    <x v="1"/>
    <s v="Anaya"/>
    <n v="1"/>
    <x v="2"/>
    <n v="1900"/>
    <n v="0.05"/>
    <x v="50"/>
    <x v="3"/>
  </r>
  <r>
    <s v="ORD-0189"/>
    <x v="66"/>
    <x v="5"/>
    <x v="0"/>
    <x v="0"/>
    <s v="Meera"/>
    <n v="5"/>
    <x v="0"/>
    <n v="58000"/>
    <n v="0.1"/>
    <x v="30"/>
    <x v="3"/>
  </r>
  <r>
    <s v="ORD-0410"/>
    <x v="66"/>
    <x v="1"/>
    <x v="1"/>
    <x v="0"/>
    <s v="Meera"/>
    <n v="5"/>
    <x v="1"/>
    <n v="12500"/>
    <n v="0"/>
    <x v="68"/>
    <x v="3"/>
  </r>
  <r>
    <s v="ORD-0206"/>
    <x v="66"/>
    <x v="3"/>
    <x v="0"/>
    <x v="0"/>
    <s v="Diya"/>
    <n v="6"/>
    <x v="2"/>
    <n v="1900"/>
    <n v="0"/>
    <x v="69"/>
    <x v="3"/>
  </r>
  <r>
    <s v="ORD-0144"/>
    <x v="67"/>
    <x v="4"/>
    <x v="0"/>
    <x v="1"/>
    <s v="Aarav"/>
    <n v="1"/>
    <x v="1"/>
    <n v="9200"/>
    <n v="0.15"/>
    <x v="63"/>
    <x v="3"/>
  </r>
  <r>
    <s v="ORD-0226"/>
    <x v="68"/>
    <x v="5"/>
    <x v="1"/>
    <x v="0"/>
    <s v="Diya"/>
    <n v="6"/>
    <x v="0"/>
    <n v="58000"/>
    <n v="0.05"/>
    <x v="43"/>
    <x v="3"/>
  </r>
  <r>
    <s v="ORD-0245"/>
    <x v="69"/>
    <x v="6"/>
    <x v="2"/>
    <x v="0"/>
    <s v="Diya"/>
    <n v="5"/>
    <x v="0"/>
    <n v="14500"/>
    <n v="0.05"/>
    <x v="29"/>
    <x v="3"/>
  </r>
  <r>
    <s v="ORD-0165"/>
    <x v="69"/>
    <x v="5"/>
    <x v="1"/>
    <x v="1"/>
    <s v="Rohan"/>
    <n v="4"/>
    <x v="0"/>
    <n v="58000"/>
    <n v="0.1"/>
    <x v="36"/>
    <x v="3"/>
  </r>
  <r>
    <s v="ORD-0096"/>
    <x v="70"/>
    <x v="0"/>
    <x v="0"/>
    <x v="0"/>
    <s v="Diya"/>
    <n v="2"/>
    <x v="0"/>
    <n v="26000"/>
    <n v="0.1"/>
    <x v="70"/>
    <x v="4"/>
  </r>
  <r>
    <s v="ORD-0282"/>
    <x v="71"/>
    <x v="1"/>
    <x v="1"/>
    <x v="0"/>
    <s v="Rohan"/>
    <n v="1"/>
    <x v="1"/>
    <n v="12500"/>
    <n v="0"/>
    <x v="71"/>
    <x v="4"/>
  </r>
  <r>
    <s v="ORD-0121"/>
    <x v="72"/>
    <x v="6"/>
    <x v="1"/>
    <x v="1"/>
    <s v="Kabir"/>
    <n v="1"/>
    <x v="0"/>
    <n v="14500"/>
    <n v="0.1"/>
    <x v="72"/>
    <x v="4"/>
  </r>
  <r>
    <s v="ORD-0336"/>
    <x v="72"/>
    <x v="4"/>
    <x v="2"/>
    <x v="0"/>
    <s v="Meera"/>
    <n v="6"/>
    <x v="1"/>
    <n v="9200"/>
    <n v="0.1"/>
    <x v="21"/>
    <x v="4"/>
  </r>
  <r>
    <s v="ORD-0292"/>
    <x v="73"/>
    <x v="6"/>
    <x v="3"/>
    <x v="1"/>
    <s v="Diya"/>
    <n v="3"/>
    <x v="0"/>
    <n v="14500"/>
    <n v="0"/>
    <x v="73"/>
    <x v="4"/>
  </r>
  <r>
    <s v="ORD-0209"/>
    <x v="73"/>
    <x v="4"/>
    <x v="0"/>
    <x v="0"/>
    <s v="Aarav"/>
    <n v="3"/>
    <x v="1"/>
    <n v="9200"/>
    <n v="0"/>
    <x v="74"/>
    <x v="4"/>
  </r>
  <r>
    <s v="ORD-0174"/>
    <x v="73"/>
    <x v="3"/>
    <x v="2"/>
    <x v="0"/>
    <s v="Anaya"/>
    <n v="2"/>
    <x v="2"/>
    <n v="1900"/>
    <n v="0.1"/>
    <x v="4"/>
    <x v="4"/>
  </r>
  <r>
    <s v="ORD-0176"/>
    <x v="73"/>
    <x v="6"/>
    <x v="3"/>
    <x v="1"/>
    <s v="Aarav"/>
    <n v="6"/>
    <x v="0"/>
    <n v="14500"/>
    <n v="0.1"/>
    <x v="75"/>
    <x v="4"/>
  </r>
  <r>
    <s v="ORD-0067"/>
    <x v="74"/>
    <x v="3"/>
    <x v="3"/>
    <x v="0"/>
    <s v="Diya"/>
    <n v="3"/>
    <x v="2"/>
    <n v="1900"/>
    <n v="0.05"/>
    <x v="62"/>
    <x v="4"/>
  </r>
  <r>
    <s v="ORD-0315"/>
    <x v="75"/>
    <x v="4"/>
    <x v="1"/>
    <x v="1"/>
    <s v="Aarav"/>
    <n v="1"/>
    <x v="1"/>
    <n v="9200"/>
    <n v="0.05"/>
    <x v="76"/>
    <x v="4"/>
  </r>
  <r>
    <s v="ORD-0137"/>
    <x v="76"/>
    <x v="3"/>
    <x v="0"/>
    <x v="1"/>
    <s v="Kabir"/>
    <n v="1"/>
    <x v="2"/>
    <n v="1900"/>
    <n v="0.1"/>
    <x v="77"/>
    <x v="4"/>
  </r>
  <r>
    <s v="ORD-0053"/>
    <x v="76"/>
    <x v="1"/>
    <x v="1"/>
    <x v="1"/>
    <s v="Aarav"/>
    <n v="2"/>
    <x v="1"/>
    <n v="12500"/>
    <n v="0.05"/>
    <x v="78"/>
    <x v="4"/>
  </r>
  <r>
    <s v="ORD-0210"/>
    <x v="77"/>
    <x v="6"/>
    <x v="0"/>
    <x v="0"/>
    <s v="Meera"/>
    <n v="2"/>
    <x v="0"/>
    <n v="14500"/>
    <n v="0.15"/>
    <x v="79"/>
    <x v="4"/>
  </r>
  <r>
    <s v="ORD-0047"/>
    <x v="78"/>
    <x v="7"/>
    <x v="0"/>
    <x v="0"/>
    <s v="Diya"/>
    <n v="6"/>
    <x v="2"/>
    <n v="850"/>
    <n v="0.05"/>
    <x v="40"/>
    <x v="4"/>
  </r>
  <r>
    <s v="ORD-0002"/>
    <x v="79"/>
    <x v="2"/>
    <x v="2"/>
    <x v="0"/>
    <s v="Kabir"/>
    <n v="2"/>
    <x v="2"/>
    <n v="2800"/>
    <n v="0"/>
    <x v="80"/>
    <x v="4"/>
  </r>
  <r>
    <s v="ORD-0411"/>
    <x v="80"/>
    <x v="0"/>
    <x v="0"/>
    <x v="1"/>
    <s v="Anaya"/>
    <n v="3"/>
    <x v="0"/>
    <n v="26000"/>
    <n v="0.1"/>
    <x v="34"/>
    <x v="4"/>
  </r>
  <r>
    <s v="ORD-0051"/>
    <x v="80"/>
    <x v="1"/>
    <x v="1"/>
    <x v="0"/>
    <s v="Anaya"/>
    <n v="3"/>
    <x v="1"/>
    <n v="12500"/>
    <n v="0.1"/>
    <x v="81"/>
    <x v="4"/>
  </r>
  <r>
    <s v="ORD-0365"/>
    <x v="81"/>
    <x v="2"/>
    <x v="1"/>
    <x v="1"/>
    <s v="Diya"/>
    <n v="6"/>
    <x v="2"/>
    <n v="2800"/>
    <n v="0.1"/>
    <x v="32"/>
    <x v="4"/>
  </r>
  <r>
    <s v="ORD-0374"/>
    <x v="82"/>
    <x v="5"/>
    <x v="0"/>
    <x v="1"/>
    <s v="Diya"/>
    <n v="4"/>
    <x v="0"/>
    <n v="58000"/>
    <n v="0.1"/>
    <x v="36"/>
    <x v="4"/>
  </r>
  <r>
    <s v="ORD-0142"/>
    <x v="83"/>
    <x v="2"/>
    <x v="3"/>
    <x v="0"/>
    <s v="Meera"/>
    <n v="4"/>
    <x v="2"/>
    <n v="2800"/>
    <n v="0.1"/>
    <x v="52"/>
    <x v="5"/>
  </r>
  <r>
    <s v="ORD-0355"/>
    <x v="84"/>
    <x v="5"/>
    <x v="0"/>
    <x v="0"/>
    <s v="Kabir"/>
    <n v="6"/>
    <x v="0"/>
    <n v="58000"/>
    <n v="0.05"/>
    <x v="43"/>
    <x v="5"/>
  </r>
  <r>
    <s v="ORD-0187"/>
    <x v="85"/>
    <x v="4"/>
    <x v="1"/>
    <x v="1"/>
    <s v="Aarav"/>
    <n v="5"/>
    <x v="1"/>
    <n v="9200"/>
    <n v="0"/>
    <x v="82"/>
    <x v="5"/>
  </r>
  <r>
    <s v="ORD-0194"/>
    <x v="85"/>
    <x v="2"/>
    <x v="2"/>
    <x v="0"/>
    <s v="Rohan"/>
    <n v="3"/>
    <x v="2"/>
    <n v="2800"/>
    <n v="0.05"/>
    <x v="3"/>
    <x v="5"/>
  </r>
  <r>
    <s v="ORD-0092"/>
    <x v="86"/>
    <x v="2"/>
    <x v="0"/>
    <x v="0"/>
    <s v="Rohan"/>
    <n v="6"/>
    <x v="2"/>
    <n v="2800"/>
    <n v="0.05"/>
    <x v="8"/>
    <x v="5"/>
  </r>
  <r>
    <s v="ORD-0299"/>
    <x v="87"/>
    <x v="4"/>
    <x v="3"/>
    <x v="1"/>
    <s v="Kabir"/>
    <n v="5"/>
    <x v="1"/>
    <n v="9200"/>
    <n v="0.1"/>
    <x v="83"/>
    <x v="5"/>
  </r>
  <r>
    <s v="ORD-0186"/>
    <x v="87"/>
    <x v="7"/>
    <x v="2"/>
    <x v="1"/>
    <s v="Rohan"/>
    <n v="5"/>
    <x v="2"/>
    <n v="850"/>
    <n v="0.15"/>
    <x v="84"/>
    <x v="5"/>
  </r>
  <r>
    <s v="ORD-0238"/>
    <x v="88"/>
    <x v="0"/>
    <x v="3"/>
    <x v="1"/>
    <s v="Kabir"/>
    <n v="5"/>
    <x v="0"/>
    <n v="26000"/>
    <n v="0"/>
    <x v="85"/>
    <x v="5"/>
  </r>
  <r>
    <s v="ORD-0417"/>
    <x v="89"/>
    <x v="5"/>
    <x v="1"/>
    <x v="0"/>
    <s v="Diya"/>
    <n v="2"/>
    <x v="0"/>
    <n v="58000"/>
    <n v="0.1"/>
    <x v="18"/>
    <x v="5"/>
  </r>
  <r>
    <s v="ORD-0196"/>
    <x v="89"/>
    <x v="6"/>
    <x v="0"/>
    <x v="0"/>
    <s v="Meera"/>
    <n v="4"/>
    <x v="0"/>
    <n v="14500"/>
    <n v="0"/>
    <x v="7"/>
    <x v="5"/>
  </r>
  <r>
    <s v="ORD-0241"/>
    <x v="89"/>
    <x v="7"/>
    <x v="2"/>
    <x v="1"/>
    <s v="Rohan"/>
    <n v="6"/>
    <x v="2"/>
    <n v="850"/>
    <n v="0.15"/>
    <x v="86"/>
    <x v="5"/>
  </r>
  <r>
    <s v="ORD-0162"/>
    <x v="90"/>
    <x v="4"/>
    <x v="0"/>
    <x v="0"/>
    <s v="Kabir"/>
    <n v="1"/>
    <x v="1"/>
    <n v="9200"/>
    <n v="0.05"/>
    <x v="76"/>
    <x v="5"/>
  </r>
  <r>
    <s v="ORD-0155"/>
    <x v="91"/>
    <x v="1"/>
    <x v="1"/>
    <x v="1"/>
    <s v="Diya"/>
    <n v="5"/>
    <x v="1"/>
    <n v="12500"/>
    <n v="0.05"/>
    <x v="87"/>
    <x v="5"/>
  </r>
  <r>
    <s v="ORD-0015"/>
    <x v="92"/>
    <x v="4"/>
    <x v="1"/>
    <x v="0"/>
    <s v="Kabir"/>
    <n v="3"/>
    <x v="1"/>
    <n v="9200"/>
    <n v="0.05"/>
    <x v="88"/>
    <x v="5"/>
  </r>
  <r>
    <s v="ORD-0173"/>
    <x v="92"/>
    <x v="6"/>
    <x v="0"/>
    <x v="0"/>
    <s v="Kabir"/>
    <n v="4"/>
    <x v="0"/>
    <n v="14500"/>
    <n v="0.1"/>
    <x v="28"/>
    <x v="5"/>
  </r>
  <r>
    <s v="ORD-0023"/>
    <x v="92"/>
    <x v="5"/>
    <x v="1"/>
    <x v="0"/>
    <s v="Kabir"/>
    <n v="4"/>
    <x v="0"/>
    <n v="58000"/>
    <n v="0.1"/>
    <x v="36"/>
    <x v="5"/>
  </r>
  <r>
    <s v="ORD-0389"/>
    <x v="92"/>
    <x v="7"/>
    <x v="1"/>
    <x v="0"/>
    <s v="Rohan"/>
    <n v="1"/>
    <x v="2"/>
    <n v="850"/>
    <n v="0.05"/>
    <x v="89"/>
    <x v="5"/>
  </r>
  <r>
    <s v="ORD-0107"/>
    <x v="93"/>
    <x v="6"/>
    <x v="0"/>
    <x v="0"/>
    <s v="Aarav"/>
    <n v="5"/>
    <x v="0"/>
    <n v="14500"/>
    <n v="0.1"/>
    <x v="90"/>
    <x v="5"/>
  </r>
  <r>
    <s v="ORD-0184"/>
    <x v="93"/>
    <x v="2"/>
    <x v="1"/>
    <x v="0"/>
    <s v="Kabir"/>
    <n v="3"/>
    <x v="2"/>
    <n v="2800"/>
    <n v="0.1"/>
    <x v="91"/>
    <x v="5"/>
  </r>
  <r>
    <s v="ORD-0394"/>
    <x v="94"/>
    <x v="6"/>
    <x v="0"/>
    <x v="0"/>
    <s v="Meera"/>
    <n v="5"/>
    <x v="0"/>
    <n v="14500"/>
    <n v="0"/>
    <x v="10"/>
    <x v="5"/>
  </r>
  <r>
    <s v="ORD-0158"/>
    <x v="95"/>
    <x v="2"/>
    <x v="2"/>
    <x v="1"/>
    <s v="Aarav"/>
    <n v="3"/>
    <x v="2"/>
    <n v="2800"/>
    <n v="0"/>
    <x v="59"/>
    <x v="5"/>
  </r>
  <r>
    <s v="ORD-0307"/>
    <x v="96"/>
    <x v="3"/>
    <x v="1"/>
    <x v="0"/>
    <s v="Meera"/>
    <n v="4"/>
    <x v="2"/>
    <n v="1900"/>
    <n v="0"/>
    <x v="33"/>
    <x v="5"/>
  </r>
  <r>
    <s v="ORD-0145"/>
    <x v="96"/>
    <x v="7"/>
    <x v="1"/>
    <x v="0"/>
    <s v="Meera"/>
    <n v="2"/>
    <x v="2"/>
    <n v="850"/>
    <n v="0"/>
    <x v="92"/>
    <x v="5"/>
  </r>
  <r>
    <s v="ORD-0368"/>
    <x v="97"/>
    <x v="6"/>
    <x v="2"/>
    <x v="1"/>
    <s v="Anaya"/>
    <n v="6"/>
    <x v="0"/>
    <n v="14500"/>
    <n v="0.05"/>
    <x v="42"/>
    <x v="5"/>
  </r>
  <r>
    <s v="ORD-0379"/>
    <x v="97"/>
    <x v="2"/>
    <x v="1"/>
    <x v="1"/>
    <s v="Aarav"/>
    <n v="3"/>
    <x v="2"/>
    <n v="2800"/>
    <n v="0.05"/>
    <x v="3"/>
    <x v="5"/>
  </r>
  <r>
    <s v="ORD-0039"/>
    <x v="97"/>
    <x v="2"/>
    <x v="2"/>
    <x v="0"/>
    <s v="Anaya"/>
    <n v="6"/>
    <x v="2"/>
    <n v="2800"/>
    <n v="0"/>
    <x v="93"/>
    <x v="5"/>
  </r>
  <r>
    <s v="ORD-0134"/>
    <x v="98"/>
    <x v="7"/>
    <x v="2"/>
    <x v="0"/>
    <s v="Rohan"/>
    <n v="1"/>
    <x v="2"/>
    <n v="850"/>
    <n v="0"/>
    <x v="23"/>
    <x v="5"/>
  </r>
  <r>
    <s v="ORD-0066"/>
    <x v="98"/>
    <x v="2"/>
    <x v="0"/>
    <x v="1"/>
    <s v="Kabir"/>
    <n v="2"/>
    <x v="2"/>
    <n v="2800"/>
    <n v="0"/>
    <x v="80"/>
    <x v="5"/>
  </r>
  <r>
    <s v="ORD-0357"/>
    <x v="98"/>
    <x v="7"/>
    <x v="2"/>
    <x v="0"/>
    <s v="Rohan"/>
    <n v="4"/>
    <x v="2"/>
    <n v="850"/>
    <n v="0.1"/>
    <x v="94"/>
    <x v="5"/>
  </r>
  <r>
    <s v="ORD-0252"/>
    <x v="99"/>
    <x v="0"/>
    <x v="0"/>
    <x v="0"/>
    <s v="Aarav"/>
    <n v="1"/>
    <x v="0"/>
    <n v="26000"/>
    <n v="0.05"/>
    <x v="31"/>
    <x v="6"/>
  </r>
  <r>
    <s v="ORD-0239"/>
    <x v="99"/>
    <x v="3"/>
    <x v="3"/>
    <x v="0"/>
    <s v="Meera"/>
    <n v="6"/>
    <x v="2"/>
    <n v="1900"/>
    <n v="0.1"/>
    <x v="60"/>
    <x v="6"/>
  </r>
  <r>
    <s v="ORD-0364"/>
    <x v="100"/>
    <x v="4"/>
    <x v="2"/>
    <x v="0"/>
    <s v="Meera"/>
    <n v="4"/>
    <x v="1"/>
    <n v="9200"/>
    <n v="0.05"/>
    <x v="6"/>
    <x v="6"/>
  </r>
  <r>
    <s v="ORD-0065"/>
    <x v="101"/>
    <x v="4"/>
    <x v="2"/>
    <x v="1"/>
    <s v="Anaya"/>
    <n v="1"/>
    <x v="1"/>
    <n v="9200"/>
    <n v="0.1"/>
    <x v="95"/>
    <x v="6"/>
  </r>
  <r>
    <s v="ORD-0311"/>
    <x v="102"/>
    <x v="4"/>
    <x v="2"/>
    <x v="1"/>
    <s v="Anaya"/>
    <n v="4"/>
    <x v="1"/>
    <n v="9200"/>
    <n v="0.15"/>
    <x v="96"/>
    <x v="6"/>
  </r>
  <r>
    <s v="ORD-0211"/>
    <x v="103"/>
    <x v="6"/>
    <x v="1"/>
    <x v="0"/>
    <s v="Kabir"/>
    <n v="3"/>
    <x v="0"/>
    <n v="14500"/>
    <n v="0.1"/>
    <x v="55"/>
    <x v="6"/>
  </r>
  <r>
    <s v="ORD-0083"/>
    <x v="103"/>
    <x v="0"/>
    <x v="0"/>
    <x v="0"/>
    <s v="Meera"/>
    <n v="2"/>
    <x v="0"/>
    <n v="26000"/>
    <n v="0.15"/>
    <x v="97"/>
    <x v="6"/>
  </r>
  <r>
    <s v="ORD-0272"/>
    <x v="104"/>
    <x v="7"/>
    <x v="3"/>
    <x v="0"/>
    <s v="Aarav"/>
    <n v="4"/>
    <x v="2"/>
    <n v="850"/>
    <n v="0.05"/>
    <x v="22"/>
    <x v="6"/>
  </r>
  <r>
    <s v="ORD-0317"/>
    <x v="105"/>
    <x v="5"/>
    <x v="1"/>
    <x v="1"/>
    <s v="Aarav"/>
    <n v="3"/>
    <x v="0"/>
    <n v="58000"/>
    <n v="0.1"/>
    <x v="98"/>
    <x v="6"/>
  </r>
  <r>
    <s v="ORD-0403"/>
    <x v="106"/>
    <x v="5"/>
    <x v="1"/>
    <x v="0"/>
    <s v="Anaya"/>
    <n v="1"/>
    <x v="0"/>
    <n v="58000"/>
    <n v="0.05"/>
    <x v="17"/>
    <x v="6"/>
  </r>
  <r>
    <s v="ORD-0063"/>
    <x v="106"/>
    <x v="1"/>
    <x v="1"/>
    <x v="0"/>
    <s v="Rohan"/>
    <n v="1"/>
    <x v="1"/>
    <n v="12500"/>
    <n v="0.05"/>
    <x v="47"/>
    <x v="6"/>
  </r>
  <r>
    <s v="ORD-0284"/>
    <x v="107"/>
    <x v="5"/>
    <x v="3"/>
    <x v="0"/>
    <s v="Anaya"/>
    <n v="6"/>
    <x v="0"/>
    <n v="58000"/>
    <n v="0.05"/>
    <x v="43"/>
    <x v="6"/>
  </r>
  <r>
    <s v="ORD-0159"/>
    <x v="108"/>
    <x v="0"/>
    <x v="3"/>
    <x v="0"/>
    <s v="Rohan"/>
    <n v="1"/>
    <x v="0"/>
    <n v="26000"/>
    <n v="0.1"/>
    <x v="57"/>
    <x v="6"/>
  </r>
  <r>
    <s v="ORD-0074"/>
    <x v="109"/>
    <x v="3"/>
    <x v="2"/>
    <x v="0"/>
    <s v="Meera"/>
    <n v="3"/>
    <x v="2"/>
    <n v="1900"/>
    <n v="0"/>
    <x v="99"/>
    <x v="6"/>
  </r>
  <r>
    <s v="ORD-0229"/>
    <x v="109"/>
    <x v="7"/>
    <x v="1"/>
    <x v="1"/>
    <s v="Meera"/>
    <n v="2"/>
    <x v="2"/>
    <n v="850"/>
    <n v="0"/>
    <x v="92"/>
    <x v="6"/>
  </r>
  <r>
    <s v="ORD-0177"/>
    <x v="110"/>
    <x v="0"/>
    <x v="0"/>
    <x v="0"/>
    <s v="Meera"/>
    <n v="4"/>
    <x v="0"/>
    <n v="26000"/>
    <n v="0.15"/>
    <x v="100"/>
    <x v="6"/>
  </r>
  <r>
    <s v="ORD-0052"/>
    <x v="111"/>
    <x v="2"/>
    <x v="3"/>
    <x v="1"/>
    <s v="Kabir"/>
    <n v="5"/>
    <x v="2"/>
    <n v="2800"/>
    <n v="0.05"/>
    <x v="101"/>
    <x v="7"/>
  </r>
  <r>
    <s v="ORD-0254"/>
    <x v="112"/>
    <x v="3"/>
    <x v="1"/>
    <x v="1"/>
    <s v="Diya"/>
    <n v="4"/>
    <x v="2"/>
    <n v="1900"/>
    <n v="0.05"/>
    <x v="102"/>
    <x v="7"/>
  </r>
  <r>
    <s v="ORD-0212"/>
    <x v="113"/>
    <x v="1"/>
    <x v="0"/>
    <x v="1"/>
    <s v="Meera"/>
    <n v="1"/>
    <x v="1"/>
    <n v="12500"/>
    <n v="0"/>
    <x v="71"/>
    <x v="7"/>
  </r>
  <r>
    <s v="ORD-0361"/>
    <x v="114"/>
    <x v="2"/>
    <x v="3"/>
    <x v="0"/>
    <s v="Diya"/>
    <n v="4"/>
    <x v="2"/>
    <n v="2800"/>
    <n v="0"/>
    <x v="103"/>
    <x v="7"/>
  </r>
  <r>
    <s v="ORD-0095"/>
    <x v="115"/>
    <x v="0"/>
    <x v="3"/>
    <x v="0"/>
    <s v="Anaya"/>
    <n v="4"/>
    <x v="0"/>
    <n v="26000"/>
    <n v="0.1"/>
    <x v="104"/>
    <x v="7"/>
  </r>
  <r>
    <s v="ORD-0275"/>
    <x v="116"/>
    <x v="5"/>
    <x v="1"/>
    <x v="1"/>
    <s v="Aarav"/>
    <n v="5"/>
    <x v="0"/>
    <n v="58000"/>
    <n v="0.1"/>
    <x v="30"/>
    <x v="7"/>
  </r>
  <r>
    <s v="ORD-0259"/>
    <x v="117"/>
    <x v="3"/>
    <x v="0"/>
    <x v="0"/>
    <s v="Rohan"/>
    <n v="6"/>
    <x v="2"/>
    <n v="1900"/>
    <n v="0.05"/>
    <x v="105"/>
    <x v="7"/>
  </r>
  <r>
    <s v="ORD-0068"/>
    <x v="118"/>
    <x v="4"/>
    <x v="1"/>
    <x v="0"/>
    <s v="Aarav"/>
    <n v="6"/>
    <x v="1"/>
    <n v="9200"/>
    <n v="0.1"/>
    <x v="21"/>
    <x v="7"/>
  </r>
  <r>
    <s v="ORD-0324"/>
    <x v="119"/>
    <x v="4"/>
    <x v="1"/>
    <x v="1"/>
    <s v="Diya"/>
    <n v="5"/>
    <x v="1"/>
    <n v="9200"/>
    <n v="0.05"/>
    <x v="106"/>
    <x v="7"/>
  </r>
  <r>
    <s v="ORD-0043"/>
    <x v="120"/>
    <x v="1"/>
    <x v="3"/>
    <x v="0"/>
    <s v="Aarav"/>
    <n v="6"/>
    <x v="1"/>
    <n v="12500"/>
    <n v="0.05"/>
    <x v="107"/>
    <x v="7"/>
  </r>
  <r>
    <s v="ORD-0019"/>
    <x v="121"/>
    <x v="7"/>
    <x v="1"/>
    <x v="1"/>
    <s v="Aarav"/>
    <n v="5"/>
    <x v="2"/>
    <n v="850"/>
    <n v="0.1"/>
    <x v="108"/>
    <x v="7"/>
  </r>
  <r>
    <s v="ORD-0108"/>
    <x v="122"/>
    <x v="5"/>
    <x v="2"/>
    <x v="0"/>
    <s v="Kabir"/>
    <n v="1"/>
    <x v="0"/>
    <n v="58000"/>
    <n v="0.05"/>
    <x v="17"/>
    <x v="7"/>
  </r>
  <r>
    <s v="ORD-0122"/>
    <x v="123"/>
    <x v="7"/>
    <x v="3"/>
    <x v="1"/>
    <s v="Anaya"/>
    <n v="3"/>
    <x v="2"/>
    <n v="850"/>
    <n v="0.05"/>
    <x v="11"/>
    <x v="7"/>
  </r>
  <r>
    <s v="ORD-0112"/>
    <x v="124"/>
    <x v="1"/>
    <x v="2"/>
    <x v="1"/>
    <s v="Aarav"/>
    <n v="1"/>
    <x v="1"/>
    <n v="12500"/>
    <n v="0.05"/>
    <x v="47"/>
    <x v="7"/>
  </r>
  <r>
    <s v="ORD-0223"/>
    <x v="125"/>
    <x v="4"/>
    <x v="2"/>
    <x v="0"/>
    <s v="Anaya"/>
    <n v="6"/>
    <x v="1"/>
    <n v="9200"/>
    <n v="0.05"/>
    <x v="109"/>
    <x v="7"/>
  </r>
  <r>
    <s v="ORD-0318"/>
    <x v="126"/>
    <x v="4"/>
    <x v="3"/>
    <x v="1"/>
    <s v="Meera"/>
    <n v="5"/>
    <x v="1"/>
    <n v="9200"/>
    <n v="0.15"/>
    <x v="110"/>
    <x v="7"/>
  </r>
  <r>
    <s v="ORD-0018"/>
    <x v="126"/>
    <x v="5"/>
    <x v="0"/>
    <x v="1"/>
    <s v="Diya"/>
    <n v="6"/>
    <x v="0"/>
    <n v="58000"/>
    <n v="0.05"/>
    <x v="43"/>
    <x v="7"/>
  </r>
  <r>
    <s v="ORD-0376"/>
    <x v="127"/>
    <x v="6"/>
    <x v="0"/>
    <x v="0"/>
    <s v="Aarav"/>
    <n v="5"/>
    <x v="0"/>
    <n v="14500"/>
    <n v="0.05"/>
    <x v="29"/>
    <x v="7"/>
  </r>
  <r>
    <s v="ORD-0001"/>
    <x v="128"/>
    <x v="7"/>
    <x v="3"/>
    <x v="0"/>
    <s v="Kabir"/>
    <n v="3"/>
    <x v="2"/>
    <n v="850"/>
    <n v="0.15"/>
    <x v="111"/>
    <x v="7"/>
  </r>
  <r>
    <s v="ORD-0071"/>
    <x v="128"/>
    <x v="3"/>
    <x v="1"/>
    <x v="1"/>
    <s v="Diya"/>
    <n v="2"/>
    <x v="2"/>
    <n v="1900"/>
    <n v="0"/>
    <x v="112"/>
    <x v="7"/>
  </r>
  <r>
    <s v="ORD-0218"/>
    <x v="129"/>
    <x v="1"/>
    <x v="3"/>
    <x v="0"/>
    <s v="Anaya"/>
    <n v="6"/>
    <x v="1"/>
    <n v="12500"/>
    <n v="0.05"/>
    <x v="107"/>
    <x v="8"/>
  </r>
  <r>
    <s v="ORD-0082"/>
    <x v="130"/>
    <x v="1"/>
    <x v="3"/>
    <x v="0"/>
    <s v="Anaya"/>
    <n v="4"/>
    <x v="1"/>
    <n v="12500"/>
    <n v="0.05"/>
    <x v="113"/>
    <x v="8"/>
  </r>
  <r>
    <s v="ORD-0231"/>
    <x v="131"/>
    <x v="4"/>
    <x v="3"/>
    <x v="1"/>
    <s v="Anaya"/>
    <n v="3"/>
    <x v="1"/>
    <n v="9200"/>
    <n v="0.1"/>
    <x v="38"/>
    <x v="8"/>
  </r>
  <r>
    <s v="ORD-0073"/>
    <x v="132"/>
    <x v="4"/>
    <x v="0"/>
    <x v="1"/>
    <s v="Meera"/>
    <n v="4"/>
    <x v="1"/>
    <n v="9200"/>
    <n v="0.05"/>
    <x v="6"/>
    <x v="8"/>
  </r>
  <r>
    <s v="ORD-0110"/>
    <x v="133"/>
    <x v="3"/>
    <x v="1"/>
    <x v="0"/>
    <s v="Anaya"/>
    <n v="6"/>
    <x v="2"/>
    <n v="1900"/>
    <n v="0.1"/>
    <x v="60"/>
    <x v="8"/>
  </r>
  <r>
    <s v="ORD-0334"/>
    <x v="134"/>
    <x v="1"/>
    <x v="0"/>
    <x v="1"/>
    <s v="Kabir"/>
    <n v="5"/>
    <x v="1"/>
    <n v="12500"/>
    <n v="0.05"/>
    <x v="87"/>
    <x v="8"/>
  </r>
  <r>
    <s v="ORD-0163"/>
    <x v="135"/>
    <x v="1"/>
    <x v="3"/>
    <x v="0"/>
    <s v="Meera"/>
    <n v="3"/>
    <x v="1"/>
    <n v="12500"/>
    <n v="0.1"/>
    <x v="81"/>
    <x v="8"/>
  </r>
  <r>
    <s v="ORD-0089"/>
    <x v="136"/>
    <x v="6"/>
    <x v="1"/>
    <x v="0"/>
    <s v="Anaya"/>
    <n v="5"/>
    <x v="0"/>
    <n v="14500"/>
    <n v="0.05"/>
    <x v="29"/>
    <x v="8"/>
  </r>
  <r>
    <s v="ORD-0276"/>
    <x v="137"/>
    <x v="4"/>
    <x v="0"/>
    <x v="0"/>
    <s v="Meera"/>
    <n v="5"/>
    <x v="1"/>
    <n v="9200"/>
    <n v="0.05"/>
    <x v="106"/>
    <x v="8"/>
  </r>
  <r>
    <s v="ORD-0261"/>
    <x v="138"/>
    <x v="4"/>
    <x v="0"/>
    <x v="0"/>
    <s v="Rohan"/>
    <n v="4"/>
    <x v="1"/>
    <n v="9200"/>
    <n v="0.1"/>
    <x v="14"/>
    <x v="8"/>
  </r>
  <r>
    <s v="ORD-0097"/>
    <x v="139"/>
    <x v="7"/>
    <x v="2"/>
    <x v="0"/>
    <s v="Diya"/>
    <n v="4"/>
    <x v="2"/>
    <n v="850"/>
    <n v="0"/>
    <x v="64"/>
    <x v="8"/>
  </r>
  <r>
    <s v="ORD-0236"/>
    <x v="140"/>
    <x v="1"/>
    <x v="1"/>
    <x v="0"/>
    <s v="Meera"/>
    <n v="6"/>
    <x v="1"/>
    <n v="12500"/>
    <n v="0.1"/>
    <x v="114"/>
    <x v="8"/>
  </r>
  <r>
    <s v="ORD-0344"/>
    <x v="140"/>
    <x v="6"/>
    <x v="0"/>
    <x v="0"/>
    <s v="Rohan"/>
    <n v="1"/>
    <x v="0"/>
    <n v="14500"/>
    <n v="0.05"/>
    <x v="49"/>
    <x v="8"/>
  </r>
  <r>
    <s v="ORD-0262"/>
    <x v="141"/>
    <x v="0"/>
    <x v="1"/>
    <x v="1"/>
    <s v="Anaya"/>
    <n v="2"/>
    <x v="0"/>
    <n v="26000"/>
    <n v="0.1"/>
    <x v="70"/>
    <x v="8"/>
  </r>
  <r>
    <s v="ORD-0213"/>
    <x v="142"/>
    <x v="0"/>
    <x v="0"/>
    <x v="1"/>
    <s v="Diya"/>
    <n v="5"/>
    <x v="0"/>
    <n v="26000"/>
    <n v="0"/>
    <x v="85"/>
    <x v="8"/>
  </r>
  <r>
    <s v="ORD-0014"/>
    <x v="142"/>
    <x v="6"/>
    <x v="0"/>
    <x v="0"/>
    <s v="Anaya"/>
    <n v="2"/>
    <x v="0"/>
    <n v="14500"/>
    <n v="0.1"/>
    <x v="115"/>
    <x v="8"/>
  </r>
  <r>
    <s v="ORD-0232"/>
    <x v="143"/>
    <x v="5"/>
    <x v="0"/>
    <x v="1"/>
    <s v="Anaya"/>
    <n v="6"/>
    <x v="0"/>
    <n v="58000"/>
    <n v="0.1"/>
    <x v="116"/>
    <x v="8"/>
  </r>
  <r>
    <s v="ORD-0335"/>
    <x v="144"/>
    <x v="5"/>
    <x v="1"/>
    <x v="0"/>
    <s v="Meera"/>
    <n v="1"/>
    <x v="0"/>
    <n v="58000"/>
    <n v="0"/>
    <x v="7"/>
    <x v="8"/>
  </r>
  <r>
    <s v="ORD-0227"/>
    <x v="144"/>
    <x v="7"/>
    <x v="1"/>
    <x v="0"/>
    <s v="Meera"/>
    <n v="2"/>
    <x v="2"/>
    <n v="850"/>
    <n v="0.1"/>
    <x v="12"/>
    <x v="8"/>
  </r>
  <r>
    <s v="ORD-0273"/>
    <x v="145"/>
    <x v="4"/>
    <x v="2"/>
    <x v="0"/>
    <s v="Aarav"/>
    <n v="3"/>
    <x v="1"/>
    <n v="9200"/>
    <n v="0"/>
    <x v="74"/>
    <x v="8"/>
  </r>
  <r>
    <s v="ORD-0225"/>
    <x v="146"/>
    <x v="6"/>
    <x v="1"/>
    <x v="0"/>
    <s v="Rohan"/>
    <n v="1"/>
    <x v="0"/>
    <n v="14500"/>
    <n v="0"/>
    <x v="117"/>
    <x v="8"/>
  </r>
  <r>
    <s v="ORD-0322"/>
    <x v="147"/>
    <x v="0"/>
    <x v="3"/>
    <x v="0"/>
    <s v="Diya"/>
    <n v="1"/>
    <x v="0"/>
    <n v="26000"/>
    <n v="0.05"/>
    <x v="31"/>
    <x v="8"/>
  </r>
  <r>
    <s v="ORD-0118"/>
    <x v="148"/>
    <x v="6"/>
    <x v="3"/>
    <x v="1"/>
    <s v="Meera"/>
    <n v="6"/>
    <x v="0"/>
    <n v="14500"/>
    <n v="0.05"/>
    <x v="42"/>
    <x v="8"/>
  </r>
  <r>
    <s v="ORD-0041"/>
    <x v="149"/>
    <x v="4"/>
    <x v="0"/>
    <x v="0"/>
    <s v="Meera"/>
    <n v="3"/>
    <x v="1"/>
    <n v="9200"/>
    <n v="0.15"/>
    <x v="118"/>
    <x v="8"/>
  </r>
  <r>
    <s v="ORD-0161"/>
    <x v="149"/>
    <x v="1"/>
    <x v="0"/>
    <x v="0"/>
    <s v="Diya"/>
    <n v="2"/>
    <x v="1"/>
    <n v="12500"/>
    <n v="0.1"/>
    <x v="119"/>
    <x v="8"/>
  </r>
  <r>
    <s v="ORD-0017"/>
    <x v="150"/>
    <x v="1"/>
    <x v="0"/>
    <x v="0"/>
    <s v="Anaya"/>
    <n v="5"/>
    <x v="1"/>
    <n v="12500"/>
    <n v="0.1"/>
    <x v="15"/>
    <x v="9"/>
  </r>
  <r>
    <s v="ORD-0244"/>
    <x v="150"/>
    <x v="6"/>
    <x v="1"/>
    <x v="0"/>
    <s v="Kabir"/>
    <n v="1"/>
    <x v="0"/>
    <n v="14500"/>
    <n v="0.05"/>
    <x v="49"/>
    <x v="9"/>
  </r>
  <r>
    <s v="ORD-0390"/>
    <x v="151"/>
    <x v="6"/>
    <x v="1"/>
    <x v="0"/>
    <s v="Rohan"/>
    <n v="3"/>
    <x v="0"/>
    <n v="14500"/>
    <n v="0.1"/>
    <x v="55"/>
    <x v="9"/>
  </r>
  <r>
    <s v="ORD-0247"/>
    <x v="152"/>
    <x v="2"/>
    <x v="2"/>
    <x v="1"/>
    <s v="Meera"/>
    <n v="2"/>
    <x v="2"/>
    <n v="2800"/>
    <n v="0.05"/>
    <x v="120"/>
    <x v="9"/>
  </r>
  <r>
    <s v="ORD-0006"/>
    <x v="152"/>
    <x v="6"/>
    <x v="0"/>
    <x v="1"/>
    <s v="Aarav"/>
    <n v="5"/>
    <x v="0"/>
    <n v="14500"/>
    <n v="0.05"/>
    <x v="29"/>
    <x v="9"/>
  </r>
  <r>
    <s v="ORD-0075"/>
    <x v="153"/>
    <x v="1"/>
    <x v="0"/>
    <x v="1"/>
    <s v="Aarav"/>
    <n v="4"/>
    <x v="1"/>
    <n v="12500"/>
    <n v="0.05"/>
    <x v="113"/>
    <x v="9"/>
  </r>
  <r>
    <s v="ORD-0359"/>
    <x v="153"/>
    <x v="2"/>
    <x v="0"/>
    <x v="1"/>
    <s v="Kabir"/>
    <n v="3"/>
    <x v="2"/>
    <n v="2800"/>
    <n v="0.05"/>
    <x v="3"/>
    <x v="9"/>
  </r>
  <r>
    <s v="ORD-0349"/>
    <x v="153"/>
    <x v="2"/>
    <x v="0"/>
    <x v="0"/>
    <s v="Anaya"/>
    <n v="4"/>
    <x v="2"/>
    <n v="2800"/>
    <n v="0.1"/>
    <x v="52"/>
    <x v="9"/>
  </r>
  <r>
    <s v="ORD-0294"/>
    <x v="154"/>
    <x v="0"/>
    <x v="3"/>
    <x v="0"/>
    <s v="Kabir"/>
    <n v="4"/>
    <x v="0"/>
    <n v="26000"/>
    <n v="0"/>
    <x v="121"/>
    <x v="9"/>
  </r>
  <r>
    <s v="ORD-0393"/>
    <x v="154"/>
    <x v="3"/>
    <x v="1"/>
    <x v="1"/>
    <s v="Diya"/>
    <n v="5"/>
    <x v="2"/>
    <n v="1900"/>
    <n v="0.1"/>
    <x v="13"/>
    <x v="9"/>
  </r>
  <r>
    <s v="ORD-0396"/>
    <x v="154"/>
    <x v="7"/>
    <x v="3"/>
    <x v="0"/>
    <s v="Anaya"/>
    <n v="3"/>
    <x v="2"/>
    <n v="850"/>
    <n v="0.15"/>
    <x v="111"/>
    <x v="9"/>
  </r>
  <r>
    <s v="ORD-0088"/>
    <x v="154"/>
    <x v="4"/>
    <x v="3"/>
    <x v="0"/>
    <s v="Aarav"/>
    <n v="5"/>
    <x v="1"/>
    <n v="9200"/>
    <n v="0.05"/>
    <x v="106"/>
    <x v="9"/>
  </r>
  <r>
    <s v="ORD-0160"/>
    <x v="155"/>
    <x v="1"/>
    <x v="2"/>
    <x v="0"/>
    <s v="Kabir"/>
    <n v="6"/>
    <x v="1"/>
    <n v="12500"/>
    <n v="0.1"/>
    <x v="114"/>
    <x v="9"/>
  </r>
  <r>
    <s v="ORD-0114"/>
    <x v="155"/>
    <x v="7"/>
    <x v="1"/>
    <x v="1"/>
    <s v="Anaya"/>
    <n v="3"/>
    <x v="2"/>
    <n v="850"/>
    <n v="0.1"/>
    <x v="122"/>
    <x v="9"/>
  </r>
  <r>
    <s v="ORD-0027"/>
    <x v="156"/>
    <x v="0"/>
    <x v="1"/>
    <x v="1"/>
    <s v="Meera"/>
    <n v="6"/>
    <x v="0"/>
    <n v="26000"/>
    <n v="0.05"/>
    <x v="123"/>
    <x v="9"/>
  </r>
  <r>
    <s v="ORD-0032"/>
    <x v="156"/>
    <x v="6"/>
    <x v="2"/>
    <x v="1"/>
    <s v="Meera"/>
    <n v="3"/>
    <x v="0"/>
    <n v="14500"/>
    <n v="0.15"/>
    <x v="124"/>
    <x v="9"/>
  </r>
  <r>
    <s v="ORD-0221"/>
    <x v="157"/>
    <x v="2"/>
    <x v="1"/>
    <x v="1"/>
    <s v="Diya"/>
    <n v="1"/>
    <x v="2"/>
    <n v="2800"/>
    <n v="0"/>
    <x v="125"/>
    <x v="9"/>
  </r>
  <r>
    <s v="ORD-0330"/>
    <x v="158"/>
    <x v="4"/>
    <x v="1"/>
    <x v="0"/>
    <s v="Anaya"/>
    <n v="2"/>
    <x v="1"/>
    <n v="9200"/>
    <n v="0.15"/>
    <x v="126"/>
    <x v="9"/>
  </r>
  <r>
    <s v="ORD-0061"/>
    <x v="159"/>
    <x v="7"/>
    <x v="0"/>
    <x v="1"/>
    <s v="Aarav"/>
    <n v="1"/>
    <x v="2"/>
    <n v="850"/>
    <n v="0.05"/>
    <x v="89"/>
    <x v="9"/>
  </r>
  <r>
    <s v="ORD-0190"/>
    <x v="160"/>
    <x v="0"/>
    <x v="1"/>
    <x v="1"/>
    <s v="Kabir"/>
    <n v="5"/>
    <x v="0"/>
    <n v="26000"/>
    <n v="0.1"/>
    <x v="127"/>
    <x v="9"/>
  </r>
  <r>
    <s v="ORD-0353"/>
    <x v="161"/>
    <x v="0"/>
    <x v="3"/>
    <x v="0"/>
    <s v="Anaya"/>
    <n v="5"/>
    <x v="0"/>
    <n v="26000"/>
    <n v="0.1"/>
    <x v="127"/>
    <x v="9"/>
  </r>
  <r>
    <s v="ORD-0331"/>
    <x v="162"/>
    <x v="7"/>
    <x v="2"/>
    <x v="0"/>
    <s v="Anaya"/>
    <n v="4"/>
    <x v="2"/>
    <n v="850"/>
    <n v="0.1"/>
    <x v="94"/>
    <x v="9"/>
  </r>
  <r>
    <s v="ORD-0380"/>
    <x v="163"/>
    <x v="3"/>
    <x v="0"/>
    <x v="1"/>
    <s v="Kabir"/>
    <n v="2"/>
    <x v="2"/>
    <n v="1900"/>
    <n v="0"/>
    <x v="112"/>
    <x v="9"/>
  </r>
  <r>
    <s v="ORD-0381"/>
    <x v="164"/>
    <x v="5"/>
    <x v="1"/>
    <x v="0"/>
    <s v="Anaya"/>
    <n v="6"/>
    <x v="0"/>
    <n v="58000"/>
    <n v="0"/>
    <x v="128"/>
    <x v="9"/>
  </r>
  <r>
    <s v="ORD-0125"/>
    <x v="165"/>
    <x v="0"/>
    <x v="2"/>
    <x v="0"/>
    <s v="Aarav"/>
    <n v="3"/>
    <x v="0"/>
    <n v="26000"/>
    <n v="0"/>
    <x v="54"/>
    <x v="9"/>
  </r>
  <r>
    <s v="ORD-0305"/>
    <x v="166"/>
    <x v="2"/>
    <x v="3"/>
    <x v="0"/>
    <s v="Meera"/>
    <n v="4"/>
    <x v="2"/>
    <n v="2800"/>
    <n v="0.05"/>
    <x v="26"/>
    <x v="9"/>
  </r>
  <r>
    <s v="ORD-0111"/>
    <x v="166"/>
    <x v="7"/>
    <x v="2"/>
    <x v="0"/>
    <s v="Meera"/>
    <n v="3"/>
    <x v="2"/>
    <n v="850"/>
    <n v="0.05"/>
    <x v="11"/>
    <x v="9"/>
  </r>
  <r>
    <s v="ORD-0057"/>
    <x v="166"/>
    <x v="1"/>
    <x v="0"/>
    <x v="1"/>
    <s v="Kabir"/>
    <n v="5"/>
    <x v="1"/>
    <n v="12500"/>
    <n v="0"/>
    <x v="68"/>
    <x v="9"/>
  </r>
  <r>
    <s v="ORD-0343"/>
    <x v="167"/>
    <x v="5"/>
    <x v="1"/>
    <x v="0"/>
    <s v="Kabir"/>
    <n v="5"/>
    <x v="0"/>
    <n v="58000"/>
    <n v="0.1"/>
    <x v="30"/>
    <x v="10"/>
  </r>
  <r>
    <s v="ORD-0180"/>
    <x v="167"/>
    <x v="3"/>
    <x v="3"/>
    <x v="1"/>
    <s v="Anaya"/>
    <n v="4"/>
    <x v="2"/>
    <n v="1900"/>
    <n v="0.1"/>
    <x v="9"/>
    <x v="10"/>
  </r>
  <r>
    <s v="ORD-0038"/>
    <x v="168"/>
    <x v="3"/>
    <x v="2"/>
    <x v="0"/>
    <s v="Anaya"/>
    <n v="2"/>
    <x v="2"/>
    <n v="1900"/>
    <n v="0.1"/>
    <x v="4"/>
    <x v="10"/>
  </r>
  <r>
    <s v="ORD-0362"/>
    <x v="169"/>
    <x v="5"/>
    <x v="0"/>
    <x v="0"/>
    <s v="Aarav"/>
    <n v="5"/>
    <x v="0"/>
    <n v="58000"/>
    <n v="0.1"/>
    <x v="30"/>
    <x v="10"/>
  </r>
  <r>
    <s v="ORD-0167"/>
    <x v="169"/>
    <x v="7"/>
    <x v="3"/>
    <x v="0"/>
    <s v="Rohan"/>
    <n v="5"/>
    <x v="2"/>
    <n v="850"/>
    <n v="0"/>
    <x v="129"/>
    <x v="10"/>
  </r>
  <r>
    <s v="ORD-0148"/>
    <x v="170"/>
    <x v="7"/>
    <x v="1"/>
    <x v="0"/>
    <s v="Aarav"/>
    <n v="2"/>
    <x v="2"/>
    <n v="850"/>
    <n v="0"/>
    <x v="92"/>
    <x v="10"/>
  </r>
  <r>
    <s v="ORD-0415"/>
    <x v="170"/>
    <x v="4"/>
    <x v="0"/>
    <x v="0"/>
    <s v="Rohan"/>
    <n v="5"/>
    <x v="1"/>
    <n v="9200"/>
    <n v="0.1"/>
    <x v="83"/>
    <x v="10"/>
  </r>
  <r>
    <s v="ORD-0072"/>
    <x v="171"/>
    <x v="7"/>
    <x v="1"/>
    <x v="1"/>
    <s v="Anaya"/>
    <n v="2"/>
    <x v="2"/>
    <n v="850"/>
    <n v="0"/>
    <x v="92"/>
    <x v="10"/>
  </r>
  <r>
    <s v="ORD-0314"/>
    <x v="171"/>
    <x v="4"/>
    <x v="0"/>
    <x v="0"/>
    <s v="Aarav"/>
    <n v="5"/>
    <x v="1"/>
    <n v="9200"/>
    <n v="0.1"/>
    <x v="83"/>
    <x v="10"/>
  </r>
  <r>
    <s v="ORD-0100"/>
    <x v="172"/>
    <x v="7"/>
    <x v="0"/>
    <x v="0"/>
    <s v="Meera"/>
    <n v="4"/>
    <x v="2"/>
    <n v="850"/>
    <n v="0.1"/>
    <x v="94"/>
    <x v="10"/>
  </r>
  <r>
    <s v="ORD-0413"/>
    <x v="173"/>
    <x v="4"/>
    <x v="3"/>
    <x v="1"/>
    <s v="Rohan"/>
    <n v="2"/>
    <x v="1"/>
    <n v="9200"/>
    <n v="0.05"/>
    <x v="130"/>
    <x v="10"/>
  </r>
  <r>
    <s v="ORD-0133"/>
    <x v="174"/>
    <x v="5"/>
    <x v="1"/>
    <x v="0"/>
    <s v="Kabir"/>
    <n v="3"/>
    <x v="0"/>
    <n v="58000"/>
    <n v="0.05"/>
    <x v="131"/>
    <x v="10"/>
  </r>
  <r>
    <s v="ORD-0005"/>
    <x v="175"/>
    <x v="1"/>
    <x v="2"/>
    <x v="0"/>
    <s v="Anaya"/>
    <n v="1"/>
    <x v="1"/>
    <n v="12500"/>
    <n v="0"/>
    <x v="71"/>
    <x v="10"/>
  </r>
  <r>
    <s v="ORD-0399"/>
    <x v="175"/>
    <x v="7"/>
    <x v="0"/>
    <x v="0"/>
    <s v="Meera"/>
    <n v="6"/>
    <x v="2"/>
    <n v="850"/>
    <n v="0"/>
    <x v="25"/>
    <x v="10"/>
  </r>
  <r>
    <s v="ORD-0056"/>
    <x v="176"/>
    <x v="7"/>
    <x v="0"/>
    <x v="1"/>
    <s v="Kabir"/>
    <n v="2"/>
    <x v="2"/>
    <n v="850"/>
    <n v="0.15"/>
    <x v="19"/>
    <x v="10"/>
  </r>
  <r>
    <s v="ORD-0257"/>
    <x v="177"/>
    <x v="1"/>
    <x v="1"/>
    <x v="0"/>
    <s v="Anaya"/>
    <n v="1"/>
    <x v="1"/>
    <n v="12500"/>
    <n v="0.1"/>
    <x v="132"/>
    <x v="10"/>
  </r>
  <r>
    <s v="ORD-0077"/>
    <x v="178"/>
    <x v="1"/>
    <x v="0"/>
    <x v="0"/>
    <s v="Kabir"/>
    <n v="5"/>
    <x v="1"/>
    <n v="12500"/>
    <n v="0.15"/>
    <x v="133"/>
    <x v="10"/>
  </r>
  <r>
    <s v="ORD-0055"/>
    <x v="178"/>
    <x v="2"/>
    <x v="2"/>
    <x v="0"/>
    <s v="Diya"/>
    <n v="3"/>
    <x v="2"/>
    <n v="2800"/>
    <n v="0.05"/>
    <x v="3"/>
    <x v="10"/>
  </r>
  <r>
    <s v="ORD-0154"/>
    <x v="179"/>
    <x v="7"/>
    <x v="0"/>
    <x v="0"/>
    <s v="Meera"/>
    <n v="2"/>
    <x v="2"/>
    <n v="850"/>
    <n v="0.1"/>
    <x v="12"/>
    <x v="10"/>
  </r>
  <r>
    <s v="ORD-0271"/>
    <x v="180"/>
    <x v="3"/>
    <x v="1"/>
    <x v="1"/>
    <s v="Kabir"/>
    <n v="1"/>
    <x v="2"/>
    <n v="1900"/>
    <n v="0"/>
    <x v="56"/>
    <x v="10"/>
  </r>
  <r>
    <s v="ORD-0246"/>
    <x v="181"/>
    <x v="2"/>
    <x v="2"/>
    <x v="1"/>
    <s v="Diya"/>
    <n v="5"/>
    <x v="2"/>
    <n v="2800"/>
    <n v="0.1"/>
    <x v="51"/>
    <x v="10"/>
  </r>
  <r>
    <s v="ORD-0283"/>
    <x v="181"/>
    <x v="2"/>
    <x v="0"/>
    <x v="0"/>
    <s v="Anaya"/>
    <n v="2"/>
    <x v="2"/>
    <n v="2800"/>
    <n v="0.1"/>
    <x v="20"/>
    <x v="10"/>
  </r>
  <r>
    <s v="ORD-0084"/>
    <x v="182"/>
    <x v="0"/>
    <x v="0"/>
    <x v="0"/>
    <s v="Aarav"/>
    <n v="1"/>
    <x v="0"/>
    <n v="26000"/>
    <n v="0.05"/>
    <x v="31"/>
    <x v="10"/>
  </r>
  <r>
    <s v="ORD-0345"/>
    <x v="183"/>
    <x v="4"/>
    <x v="0"/>
    <x v="0"/>
    <s v="Kabir"/>
    <n v="1"/>
    <x v="1"/>
    <n v="9200"/>
    <n v="0"/>
    <x v="134"/>
    <x v="10"/>
  </r>
  <r>
    <s v="ORD-0326"/>
    <x v="183"/>
    <x v="5"/>
    <x v="1"/>
    <x v="0"/>
    <s v="Meera"/>
    <n v="4"/>
    <x v="0"/>
    <n v="58000"/>
    <n v="0.05"/>
    <x v="41"/>
    <x v="10"/>
  </r>
  <r>
    <s v="ORD-0008"/>
    <x v="184"/>
    <x v="6"/>
    <x v="1"/>
    <x v="1"/>
    <s v="Meera"/>
    <n v="6"/>
    <x v="0"/>
    <n v="14500"/>
    <n v="0"/>
    <x v="24"/>
    <x v="10"/>
  </r>
  <r>
    <s v="ORD-0157"/>
    <x v="184"/>
    <x v="1"/>
    <x v="3"/>
    <x v="1"/>
    <s v="Diya"/>
    <n v="1"/>
    <x v="1"/>
    <n v="12500"/>
    <n v="0.05"/>
    <x v="47"/>
    <x v="10"/>
  </r>
  <r>
    <s v="ORD-0195"/>
    <x v="185"/>
    <x v="5"/>
    <x v="3"/>
    <x v="0"/>
    <s v="Meera"/>
    <n v="5"/>
    <x v="0"/>
    <n v="58000"/>
    <n v="0"/>
    <x v="135"/>
    <x v="10"/>
  </r>
  <r>
    <s v="ORD-0419"/>
    <x v="185"/>
    <x v="2"/>
    <x v="2"/>
    <x v="1"/>
    <s v="Aarav"/>
    <n v="3"/>
    <x v="2"/>
    <n v="2800"/>
    <n v="0.05"/>
    <x v="3"/>
    <x v="10"/>
  </r>
  <r>
    <s v="ORD-0124"/>
    <x v="186"/>
    <x v="5"/>
    <x v="3"/>
    <x v="1"/>
    <s v="Diya"/>
    <n v="4"/>
    <x v="0"/>
    <n v="58000"/>
    <n v="0"/>
    <x v="61"/>
    <x v="10"/>
  </r>
  <r>
    <s v="ORD-0205"/>
    <x v="186"/>
    <x v="1"/>
    <x v="1"/>
    <x v="0"/>
    <s v="Diya"/>
    <n v="2"/>
    <x v="1"/>
    <n v="12500"/>
    <n v="0"/>
    <x v="136"/>
    <x v="10"/>
  </r>
  <r>
    <s v="ORD-0150"/>
    <x v="187"/>
    <x v="2"/>
    <x v="1"/>
    <x v="0"/>
    <s v="Diya"/>
    <n v="6"/>
    <x v="2"/>
    <n v="2800"/>
    <n v="0"/>
    <x v="93"/>
    <x v="10"/>
  </r>
  <r>
    <s v="ORD-0372"/>
    <x v="188"/>
    <x v="3"/>
    <x v="2"/>
    <x v="0"/>
    <s v="Aarav"/>
    <n v="1"/>
    <x v="2"/>
    <n v="1900"/>
    <n v="0.05"/>
    <x v="50"/>
    <x v="10"/>
  </r>
  <r>
    <s v="ORD-0188"/>
    <x v="189"/>
    <x v="1"/>
    <x v="3"/>
    <x v="0"/>
    <s v="Meera"/>
    <n v="3"/>
    <x v="1"/>
    <n v="12500"/>
    <n v="0"/>
    <x v="137"/>
    <x v="11"/>
  </r>
  <r>
    <s v="ORD-0086"/>
    <x v="190"/>
    <x v="5"/>
    <x v="0"/>
    <x v="1"/>
    <s v="Kabir"/>
    <n v="2"/>
    <x v="0"/>
    <n v="58000"/>
    <n v="0"/>
    <x v="44"/>
    <x v="11"/>
  </r>
  <r>
    <s v="ORD-0192"/>
    <x v="191"/>
    <x v="5"/>
    <x v="2"/>
    <x v="0"/>
    <s v="Aarav"/>
    <n v="4"/>
    <x v="0"/>
    <n v="58000"/>
    <n v="0"/>
    <x v="61"/>
    <x v="11"/>
  </r>
  <r>
    <s v="ORD-0135"/>
    <x v="191"/>
    <x v="4"/>
    <x v="1"/>
    <x v="0"/>
    <s v="Anaya"/>
    <n v="1"/>
    <x v="1"/>
    <n v="9200"/>
    <n v="0"/>
    <x v="134"/>
    <x v="11"/>
  </r>
  <r>
    <s v="ORD-0319"/>
    <x v="192"/>
    <x v="7"/>
    <x v="1"/>
    <x v="0"/>
    <s v="Kabir"/>
    <n v="4"/>
    <x v="2"/>
    <n v="850"/>
    <n v="0"/>
    <x v="64"/>
    <x v="11"/>
  </r>
  <r>
    <s v="ORD-0156"/>
    <x v="193"/>
    <x v="4"/>
    <x v="1"/>
    <x v="0"/>
    <s v="Kabir"/>
    <n v="4"/>
    <x v="1"/>
    <n v="9200"/>
    <n v="0.1"/>
    <x v="14"/>
    <x v="11"/>
  </r>
  <r>
    <s v="ORD-0153"/>
    <x v="193"/>
    <x v="4"/>
    <x v="2"/>
    <x v="1"/>
    <s v="Aarav"/>
    <n v="2"/>
    <x v="1"/>
    <n v="9200"/>
    <n v="0.05"/>
    <x v="130"/>
    <x v="11"/>
  </r>
  <r>
    <s v="ORD-0408"/>
    <x v="194"/>
    <x v="0"/>
    <x v="1"/>
    <x v="1"/>
    <s v="Rohan"/>
    <n v="5"/>
    <x v="0"/>
    <n v="26000"/>
    <n v="0.15"/>
    <x v="138"/>
    <x v="11"/>
  </r>
  <r>
    <s v="ORD-0329"/>
    <x v="194"/>
    <x v="3"/>
    <x v="2"/>
    <x v="0"/>
    <s v="Rohan"/>
    <n v="6"/>
    <x v="2"/>
    <n v="1900"/>
    <n v="0.1"/>
    <x v="60"/>
    <x v="11"/>
  </r>
  <r>
    <s v="ORD-0405"/>
    <x v="195"/>
    <x v="2"/>
    <x v="0"/>
    <x v="0"/>
    <s v="Rohan"/>
    <n v="2"/>
    <x v="2"/>
    <n v="2800"/>
    <n v="0.05"/>
    <x v="120"/>
    <x v="11"/>
  </r>
  <r>
    <s v="ORD-0338"/>
    <x v="195"/>
    <x v="0"/>
    <x v="2"/>
    <x v="0"/>
    <s v="Aarav"/>
    <n v="3"/>
    <x v="0"/>
    <n v="26000"/>
    <n v="0"/>
    <x v="54"/>
    <x v="11"/>
  </r>
  <r>
    <s v="ORD-0301"/>
    <x v="196"/>
    <x v="7"/>
    <x v="2"/>
    <x v="1"/>
    <s v="Anaya"/>
    <n v="3"/>
    <x v="2"/>
    <n v="850"/>
    <n v="0.05"/>
    <x v="11"/>
    <x v="11"/>
  </r>
  <r>
    <s v="ORD-0367"/>
    <x v="197"/>
    <x v="4"/>
    <x v="2"/>
    <x v="1"/>
    <s v="Meera"/>
    <n v="4"/>
    <x v="1"/>
    <n v="9200"/>
    <n v="0.1"/>
    <x v="14"/>
    <x v="11"/>
  </r>
  <r>
    <s v="ORD-0138"/>
    <x v="197"/>
    <x v="7"/>
    <x v="2"/>
    <x v="1"/>
    <s v="Aarav"/>
    <n v="5"/>
    <x v="2"/>
    <n v="850"/>
    <n v="0.1"/>
    <x v="108"/>
    <x v="11"/>
  </r>
  <r>
    <s v="ORD-0090"/>
    <x v="198"/>
    <x v="5"/>
    <x v="1"/>
    <x v="0"/>
    <s v="Meera"/>
    <n v="6"/>
    <x v="0"/>
    <n v="58000"/>
    <n v="0.05"/>
    <x v="43"/>
    <x v="11"/>
  </r>
  <r>
    <s v="ORD-0250"/>
    <x v="199"/>
    <x v="5"/>
    <x v="2"/>
    <x v="0"/>
    <s v="Diya"/>
    <n v="4"/>
    <x v="0"/>
    <n v="58000"/>
    <n v="0.1"/>
    <x v="36"/>
    <x v="11"/>
  </r>
  <r>
    <s v="ORD-0392"/>
    <x v="200"/>
    <x v="3"/>
    <x v="0"/>
    <x v="1"/>
    <s v="Kabir"/>
    <n v="5"/>
    <x v="2"/>
    <n v="1900"/>
    <n v="0.1"/>
    <x v="13"/>
    <x v="12"/>
  </r>
  <r>
    <s v="ORD-0264"/>
    <x v="201"/>
    <x v="7"/>
    <x v="0"/>
    <x v="0"/>
    <s v="Aarav"/>
    <n v="4"/>
    <x v="2"/>
    <n v="850"/>
    <n v="0.15"/>
    <x v="139"/>
    <x v="12"/>
  </r>
  <r>
    <s v="ORD-0265"/>
    <x v="202"/>
    <x v="3"/>
    <x v="1"/>
    <x v="0"/>
    <s v="Kabir"/>
    <n v="3"/>
    <x v="2"/>
    <n v="1900"/>
    <n v="0.1"/>
    <x v="66"/>
    <x v="12"/>
  </r>
  <r>
    <s v="ORD-0267"/>
    <x v="203"/>
    <x v="0"/>
    <x v="1"/>
    <x v="1"/>
    <s v="Meera"/>
    <n v="3"/>
    <x v="0"/>
    <n v="26000"/>
    <n v="0"/>
    <x v="54"/>
    <x v="12"/>
  </r>
  <r>
    <s v="ORD-0128"/>
    <x v="204"/>
    <x v="0"/>
    <x v="1"/>
    <x v="1"/>
    <s v="Kabir"/>
    <n v="1"/>
    <x v="0"/>
    <n v="26000"/>
    <n v="0"/>
    <x v="140"/>
    <x v="12"/>
  </r>
  <r>
    <s v="ORD-0207"/>
    <x v="205"/>
    <x v="4"/>
    <x v="2"/>
    <x v="1"/>
    <s v="Anaya"/>
    <n v="4"/>
    <x v="1"/>
    <n v="9200"/>
    <n v="0"/>
    <x v="67"/>
    <x v="12"/>
  </r>
  <r>
    <s v="ORD-0198"/>
    <x v="206"/>
    <x v="2"/>
    <x v="1"/>
    <x v="1"/>
    <s v="Diya"/>
    <n v="4"/>
    <x v="2"/>
    <n v="2800"/>
    <n v="0.05"/>
    <x v="26"/>
    <x v="12"/>
  </r>
  <r>
    <s v="ORD-0026"/>
    <x v="207"/>
    <x v="6"/>
    <x v="2"/>
    <x v="1"/>
    <s v="Diya"/>
    <n v="3"/>
    <x v="0"/>
    <n v="14500"/>
    <n v="0.05"/>
    <x v="141"/>
    <x v="12"/>
  </r>
  <r>
    <s v="ORD-0029"/>
    <x v="207"/>
    <x v="3"/>
    <x v="1"/>
    <x v="0"/>
    <s v="Aarav"/>
    <n v="4"/>
    <x v="2"/>
    <n v="1900"/>
    <n v="0.05"/>
    <x v="102"/>
    <x v="12"/>
  </r>
  <r>
    <s v="ORD-0420"/>
    <x v="208"/>
    <x v="4"/>
    <x v="3"/>
    <x v="0"/>
    <s v="Aarav"/>
    <n v="3"/>
    <x v="1"/>
    <n v="9200"/>
    <n v="0"/>
    <x v="74"/>
    <x v="12"/>
  </r>
  <r>
    <s v="ORD-0409"/>
    <x v="209"/>
    <x v="5"/>
    <x v="3"/>
    <x v="0"/>
    <s v="Kabir"/>
    <n v="6"/>
    <x v="0"/>
    <n v="58000"/>
    <n v="0.05"/>
    <x v="43"/>
    <x v="12"/>
  </r>
  <r>
    <s v="ORD-0228"/>
    <x v="210"/>
    <x v="2"/>
    <x v="3"/>
    <x v="0"/>
    <s v="Meera"/>
    <n v="1"/>
    <x v="2"/>
    <n v="2800"/>
    <n v="0.05"/>
    <x v="142"/>
    <x v="12"/>
  </r>
  <r>
    <s v="ORD-0179"/>
    <x v="211"/>
    <x v="1"/>
    <x v="3"/>
    <x v="1"/>
    <s v="Kabir"/>
    <n v="6"/>
    <x v="1"/>
    <n v="12500"/>
    <n v="0.1"/>
    <x v="114"/>
    <x v="12"/>
  </r>
  <r>
    <s v="ORD-0069"/>
    <x v="212"/>
    <x v="3"/>
    <x v="0"/>
    <x v="1"/>
    <s v="Kabir"/>
    <n v="6"/>
    <x v="2"/>
    <n v="1900"/>
    <n v="0"/>
    <x v="69"/>
    <x v="12"/>
  </r>
  <r>
    <s v="ORD-0022"/>
    <x v="213"/>
    <x v="2"/>
    <x v="3"/>
    <x v="1"/>
    <s v="Kabir"/>
    <n v="4"/>
    <x v="2"/>
    <n v="2800"/>
    <n v="0.05"/>
    <x v="26"/>
    <x v="12"/>
  </r>
  <r>
    <s v="ORD-0003"/>
    <x v="214"/>
    <x v="6"/>
    <x v="0"/>
    <x v="1"/>
    <s v="Kabir"/>
    <n v="3"/>
    <x v="0"/>
    <n v="14500"/>
    <n v="0.05"/>
    <x v="141"/>
    <x v="12"/>
  </r>
  <r>
    <s v="ORD-0048"/>
    <x v="215"/>
    <x v="6"/>
    <x v="2"/>
    <x v="0"/>
    <s v="Kabir"/>
    <n v="5"/>
    <x v="0"/>
    <n v="14500"/>
    <n v="0.05"/>
    <x v="29"/>
    <x v="12"/>
  </r>
  <r>
    <s v="ORD-0224"/>
    <x v="215"/>
    <x v="1"/>
    <x v="1"/>
    <x v="1"/>
    <s v="Diya"/>
    <n v="6"/>
    <x v="1"/>
    <n v="12500"/>
    <n v="0"/>
    <x v="16"/>
    <x v="12"/>
  </r>
  <r>
    <s v="ORD-0113"/>
    <x v="215"/>
    <x v="7"/>
    <x v="0"/>
    <x v="0"/>
    <s v="Diya"/>
    <n v="6"/>
    <x v="2"/>
    <n v="850"/>
    <n v="0.1"/>
    <x v="143"/>
    <x v="12"/>
  </r>
  <r>
    <s v="ORD-0366"/>
    <x v="216"/>
    <x v="1"/>
    <x v="3"/>
    <x v="0"/>
    <s v="Kabir"/>
    <n v="5"/>
    <x v="1"/>
    <n v="12500"/>
    <n v="0"/>
    <x v="68"/>
    <x v="12"/>
  </r>
  <r>
    <s v="ORD-0220"/>
    <x v="216"/>
    <x v="4"/>
    <x v="1"/>
    <x v="1"/>
    <s v="Kabir"/>
    <n v="2"/>
    <x v="1"/>
    <n v="9200"/>
    <n v="0.15"/>
    <x v="126"/>
    <x v="12"/>
  </r>
  <r>
    <s v="ORD-0237"/>
    <x v="217"/>
    <x v="7"/>
    <x v="1"/>
    <x v="1"/>
    <s v="Diya"/>
    <n v="6"/>
    <x v="2"/>
    <n v="850"/>
    <n v="0.15"/>
    <x v="86"/>
    <x v="12"/>
  </r>
  <r>
    <s v="ORD-0079"/>
    <x v="218"/>
    <x v="0"/>
    <x v="2"/>
    <x v="0"/>
    <s v="Rohan"/>
    <n v="3"/>
    <x v="0"/>
    <n v="26000"/>
    <n v="0"/>
    <x v="54"/>
    <x v="13"/>
  </r>
  <r>
    <s v="ORD-0290"/>
    <x v="219"/>
    <x v="5"/>
    <x v="0"/>
    <x v="1"/>
    <s v="Anaya"/>
    <n v="3"/>
    <x v="0"/>
    <n v="58000"/>
    <n v="0"/>
    <x v="46"/>
    <x v="13"/>
  </r>
  <r>
    <s v="ORD-0143"/>
    <x v="219"/>
    <x v="0"/>
    <x v="3"/>
    <x v="1"/>
    <s v="Rohan"/>
    <n v="1"/>
    <x v="0"/>
    <n v="26000"/>
    <n v="0"/>
    <x v="140"/>
    <x v="13"/>
  </r>
  <r>
    <s v="ORD-0401"/>
    <x v="219"/>
    <x v="4"/>
    <x v="2"/>
    <x v="0"/>
    <s v="Rohan"/>
    <n v="4"/>
    <x v="1"/>
    <n v="9200"/>
    <n v="0.1"/>
    <x v="14"/>
    <x v="13"/>
  </r>
  <r>
    <s v="ORD-0298"/>
    <x v="219"/>
    <x v="7"/>
    <x v="3"/>
    <x v="1"/>
    <s v="Rohan"/>
    <n v="5"/>
    <x v="2"/>
    <n v="850"/>
    <n v="0.05"/>
    <x v="144"/>
    <x v="13"/>
  </r>
  <r>
    <s v="ORD-0087"/>
    <x v="220"/>
    <x v="7"/>
    <x v="0"/>
    <x v="0"/>
    <s v="Rohan"/>
    <n v="3"/>
    <x v="2"/>
    <n v="850"/>
    <n v="0.05"/>
    <x v="11"/>
    <x v="13"/>
  </r>
  <r>
    <s v="ORD-0126"/>
    <x v="221"/>
    <x v="2"/>
    <x v="0"/>
    <x v="1"/>
    <s v="Anaya"/>
    <n v="1"/>
    <x v="2"/>
    <n v="2800"/>
    <n v="0"/>
    <x v="125"/>
    <x v="13"/>
  </r>
  <r>
    <s v="ORD-0168"/>
    <x v="221"/>
    <x v="7"/>
    <x v="1"/>
    <x v="0"/>
    <s v="Kabir"/>
    <n v="4"/>
    <x v="2"/>
    <n v="850"/>
    <n v="0.1"/>
    <x v="94"/>
    <x v="13"/>
  </r>
  <r>
    <s v="ORD-0348"/>
    <x v="222"/>
    <x v="7"/>
    <x v="2"/>
    <x v="0"/>
    <s v="Aarav"/>
    <n v="1"/>
    <x v="2"/>
    <n v="850"/>
    <n v="0.05"/>
    <x v="89"/>
    <x v="13"/>
  </r>
  <r>
    <s v="ORD-0004"/>
    <x v="222"/>
    <x v="7"/>
    <x v="1"/>
    <x v="0"/>
    <s v="Aarav"/>
    <n v="5"/>
    <x v="2"/>
    <n v="850"/>
    <n v="0.05"/>
    <x v="144"/>
    <x v="13"/>
  </r>
  <r>
    <s v="ORD-0199"/>
    <x v="223"/>
    <x v="1"/>
    <x v="0"/>
    <x v="0"/>
    <s v="Aarav"/>
    <n v="2"/>
    <x v="1"/>
    <n v="12500"/>
    <n v="0"/>
    <x v="136"/>
    <x v="13"/>
  </r>
  <r>
    <s v="ORD-0256"/>
    <x v="224"/>
    <x v="5"/>
    <x v="3"/>
    <x v="0"/>
    <s v="Diya"/>
    <n v="5"/>
    <x v="0"/>
    <n v="58000"/>
    <n v="0.1"/>
    <x v="30"/>
    <x v="13"/>
  </r>
  <r>
    <s v="ORD-0251"/>
    <x v="225"/>
    <x v="1"/>
    <x v="2"/>
    <x v="1"/>
    <s v="Diya"/>
    <n v="3"/>
    <x v="1"/>
    <n v="12500"/>
    <n v="0.1"/>
    <x v="81"/>
    <x v="13"/>
  </r>
  <r>
    <s v="ORD-0277"/>
    <x v="225"/>
    <x v="2"/>
    <x v="0"/>
    <x v="0"/>
    <s v="Aarav"/>
    <n v="1"/>
    <x v="2"/>
    <n v="2800"/>
    <n v="0.15"/>
    <x v="145"/>
    <x v="13"/>
  </r>
  <r>
    <s v="ORD-0370"/>
    <x v="226"/>
    <x v="5"/>
    <x v="2"/>
    <x v="0"/>
    <s v="Rohan"/>
    <n v="4"/>
    <x v="0"/>
    <n v="58000"/>
    <n v="0.15"/>
    <x v="146"/>
    <x v="13"/>
  </r>
  <r>
    <s v="ORD-0169"/>
    <x v="227"/>
    <x v="6"/>
    <x v="1"/>
    <x v="0"/>
    <s v="Anaya"/>
    <n v="2"/>
    <x v="0"/>
    <n v="14500"/>
    <n v="0.05"/>
    <x v="48"/>
    <x v="13"/>
  </r>
  <r>
    <s v="ORD-0310"/>
    <x v="228"/>
    <x v="1"/>
    <x v="0"/>
    <x v="0"/>
    <s v="Kabir"/>
    <n v="3"/>
    <x v="1"/>
    <n v="12500"/>
    <n v="0.05"/>
    <x v="147"/>
    <x v="13"/>
  </r>
  <r>
    <s v="ORD-0306"/>
    <x v="229"/>
    <x v="6"/>
    <x v="0"/>
    <x v="0"/>
    <s v="Anaya"/>
    <n v="6"/>
    <x v="0"/>
    <n v="14500"/>
    <n v="0.05"/>
    <x v="42"/>
    <x v="13"/>
  </r>
  <r>
    <s v="ORD-0377"/>
    <x v="230"/>
    <x v="4"/>
    <x v="1"/>
    <x v="0"/>
    <s v="Meera"/>
    <n v="6"/>
    <x v="1"/>
    <n v="9200"/>
    <n v="0"/>
    <x v="148"/>
    <x v="13"/>
  </r>
  <r>
    <s v="ORD-0076"/>
    <x v="230"/>
    <x v="4"/>
    <x v="0"/>
    <x v="1"/>
    <s v="Anaya"/>
    <n v="1"/>
    <x v="1"/>
    <n v="9200"/>
    <n v="0.1"/>
    <x v="95"/>
    <x v="13"/>
  </r>
  <r>
    <s v="ORD-0164"/>
    <x v="231"/>
    <x v="5"/>
    <x v="2"/>
    <x v="0"/>
    <s v="Meera"/>
    <n v="5"/>
    <x v="0"/>
    <n v="58000"/>
    <n v="0.1"/>
    <x v="30"/>
    <x v="14"/>
  </r>
  <r>
    <s v="ORD-0398"/>
    <x v="232"/>
    <x v="6"/>
    <x v="3"/>
    <x v="0"/>
    <s v="Diya"/>
    <n v="5"/>
    <x v="0"/>
    <n v="14500"/>
    <n v="0.05"/>
    <x v="29"/>
    <x v="14"/>
  </r>
  <r>
    <s v="ORD-0217"/>
    <x v="232"/>
    <x v="2"/>
    <x v="2"/>
    <x v="1"/>
    <s v="Kabir"/>
    <n v="5"/>
    <x v="2"/>
    <n v="2800"/>
    <n v="0"/>
    <x v="39"/>
    <x v="14"/>
  </r>
  <r>
    <s v="ORD-0059"/>
    <x v="232"/>
    <x v="7"/>
    <x v="1"/>
    <x v="1"/>
    <s v="Diya"/>
    <n v="5"/>
    <x v="2"/>
    <n v="850"/>
    <n v="0.15"/>
    <x v="84"/>
    <x v="14"/>
  </r>
  <r>
    <s v="ORD-0281"/>
    <x v="233"/>
    <x v="3"/>
    <x v="0"/>
    <x v="0"/>
    <s v="Meera"/>
    <n v="6"/>
    <x v="2"/>
    <n v="1900"/>
    <n v="0.05"/>
    <x v="105"/>
    <x v="14"/>
  </r>
  <r>
    <s v="ORD-0020"/>
    <x v="234"/>
    <x v="5"/>
    <x v="0"/>
    <x v="1"/>
    <s v="Rohan"/>
    <n v="3"/>
    <x v="0"/>
    <n v="58000"/>
    <n v="0"/>
    <x v="46"/>
    <x v="14"/>
  </r>
  <r>
    <s v="ORD-0031"/>
    <x v="235"/>
    <x v="5"/>
    <x v="3"/>
    <x v="0"/>
    <s v="Anaya"/>
    <n v="1"/>
    <x v="0"/>
    <n v="58000"/>
    <n v="0.1"/>
    <x v="28"/>
    <x v="14"/>
  </r>
  <r>
    <s v="ORD-0248"/>
    <x v="236"/>
    <x v="5"/>
    <x v="3"/>
    <x v="0"/>
    <s v="Rohan"/>
    <n v="2"/>
    <x v="0"/>
    <n v="58000"/>
    <n v="0"/>
    <x v="44"/>
    <x v="14"/>
  </r>
  <r>
    <s v="ORD-0278"/>
    <x v="237"/>
    <x v="2"/>
    <x v="2"/>
    <x v="0"/>
    <s v="Meera"/>
    <n v="2"/>
    <x v="2"/>
    <n v="2800"/>
    <n v="0.15"/>
    <x v="149"/>
    <x v="14"/>
  </r>
  <r>
    <s v="ORD-0242"/>
    <x v="238"/>
    <x v="7"/>
    <x v="2"/>
    <x v="1"/>
    <s v="Diya"/>
    <n v="4"/>
    <x v="2"/>
    <n v="850"/>
    <n v="0.05"/>
    <x v="22"/>
    <x v="14"/>
  </r>
  <r>
    <s v="ORD-0146"/>
    <x v="238"/>
    <x v="4"/>
    <x v="0"/>
    <x v="1"/>
    <s v="Diya"/>
    <n v="3"/>
    <x v="1"/>
    <n v="9200"/>
    <n v="0.1"/>
    <x v="38"/>
    <x v="14"/>
  </r>
  <r>
    <s v="ORD-0036"/>
    <x v="238"/>
    <x v="3"/>
    <x v="0"/>
    <x v="1"/>
    <s v="Diya"/>
    <n v="5"/>
    <x v="2"/>
    <n v="1900"/>
    <n v="0"/>
    <x v="5"/>
    <x v="14"/>
  </r>
  <r>
    <s v="ORD-0321"/>
    <x v="239"/>
    <x v="3"/>
    <x v="3"/>
    <x v="0"/>
    <s v="Rohan"/>
    <n v="2"/>
    <x v="2"/>
    <n v="1900"/>
    <n v="0"/>
    <x v="112"/>
    <x v="14"/>
  </r>
  <r>
    <s v="ORD-0117"/>
    <x v="239"/>
    <x v="5"/>
    <x v="1"/>
    <x v="0"/>
    <s v="Meera"/>
    <n v="4"/>
    <x v="0"/>
    <n v="58000"/>
    <n v="0.05"/>
    <x v="41"/>
    <x v="14"/>
  </r>
  <r>
    <s v="ORD-0300"/>
    <x v="240"/>
    <x v="0"/>
    <x v="1"/>
    <x v="0"/>
    <s v="Rohan"/>
    <n v="4"/>
    <x v="0"/>
    <n v="26000"/>
    <n v="0.1"/>
    <x v="104"/>
    <x v="14"/>
  </r>
  <r>
    <s v="ORD-0204"/>
    <x v="241"/>
    <x v="4"/>
    <x v="2"/>
    <x v="0"/>
    <s v="Anaya"/>
    <n v="5"/>
    <x v="1"/>
    <n v="9200"/>
    <n v="0.05"/>
    <x v="106"/>
    <x v="14"/>
  </r>
  <r>
    <s v="ORD-0193"/>
    <x v="241"/>
    <x v="3"/>
    <x v="0"/>
    <x v="1"/>
    <s v="Anaya"/>
    <n v="1"/>
    <x v="2"/>
    <n v="1900"/>
    <n v="0"/>
    <x v="56"/>
    <x v="14"/>
  </r>
  <r>
    <s v="ORD-0268"/>
    <x v="241"/>
    <x v="2"/>
    <x v="1"/>
    <x v="0"/>
    <s v="Rohan"/>
    <n v="4"/>
    <x v="2"/>
    <n v="2800"/>
    <n v="0.05"/>
    <x v="26"/>
    <x v="14"/>
  </r>
  <r>
    <s v="ORD-0101"/>
    <x v="242"/>
    <x v="4"/>
    <x v="1"/>
    <x v="1"/>
    <s v="Aarav"/>
    <n v="2"/>
    <x v="1"/>
    <n v="9200"/>
    <n v="0.1"/>
    <x v="27"/>
    <x v="14"/>
  </r>
  <r>
    <s v="ORD-0332"/>
    <x v="242"/>
    <x v="4"/>
    <x v="2"/>
    <x v="0"/>
    <s v="Rohan"/>
    <n v="4"/>
    <x v="1"/>
    <n v="9200"/>
    <n v="0"/>
    <x v="67"/>
    <x v="14"/>
  </r>
  <r>
    <s v="ORD-0081"/>
    <x v="242"/>
    <x v="2"/>
    <x v="2"/>
    <x v="1"/>
    <s v="Diya"/>
    <n v="2"/>
    <x v="2"/>
    <n v="2800"/>
    <n v="0.05"/>
    <x v="120"/>
    <x v="14"/>
  </r>
  <r>
    <s v="ORD-0191"/>
    <x v="243"/>
    <x v="3"/>
    <x v="0"/>
    <x v="0"/>
    <s v="Rohan"/>
    <n v="1"/>
    <x v="2"/>
    <n v="1900"/>
    <n v="0"/>
    <x v="56"/>
    <x v="15"/>
  </r>
  <r>
    <s v="ORD-0203"/>
    <x v="243"/>
    <x v="7"/>
    <x v="2"/>
    <x v="0"/>
    <s v="Diya"/>
    <n v="1"/>
    <x v="2"/>
    <n v="850"/>
    <n v="0"/>
    <x v="23"/>
    <x v="15"/>
  </r>
  <r>
    <s v="ORD-0106"/>
    <x v="244"/>
    <x v="3"/>
    <x v="0"/>
    <x v="1"/>
    <s v="Anaya"/>
    <n v="3"/>
    <x v="2"/>
    <n v="1900"/>
    <n v="0.1"/>
    <x v="66"/>
    <x v="15"/>
  </r>
  <r>
    <s v="ORD-0266"/>
    <x v="244"/>
    <x v="6"/>
    <x v="2"/>
    <x v="1"/>
    <s v="Diya"/>
    <n v="2"/>
    <x v="0"/>
    <n v="14500"/>
    <n v="0.1"/>
    <x v="115"/>
    <x v="15"/>
  </r>
  <r>
    <s v="ORD-0280"/>
    <x v="245"/>
    <x v="7"/>
    <x v="3"/>
    <x v="1"/>
    <s v="Meera"/>
    <n v="6"/>
    <x v="2"/>
    <n v="850"/>
    <n v="0"/>
    <x v="25"/>
    <x v="15"/>
  </r>
  <r>
    <s v="ORD-0141"/>
    <x v="246"/>
    <x v="7"/>
    <x v="3"/>
    <x v="0"/>
    <s v="Kabir"/>
    <n v="2"/>
    <x v="2"/>
    <n v="850"/>
    <n v="0"/>
    <x v="92"/>
    <x v="15"/>
  </r>
  <r>
    <s v="ORD-0040"/>
    <x v="246"/>
    <x v="1"/>
    <x v="2"/>
    <x v="0"/>
    <s v="Kabir"/>
    <n v="4"/>
    <x v="1"/>
    <n v="12500"/>
    <n v="0"/>
    <x v="1"/>
    <x v="15"/>
  </r>
  <r>
    <s v="ORD-0094"/>
    <x v="246"/>
    <x v="1"/>
    <x v="2"/>
    <x v="0"/>
    <s v="Aarav"/>
    <n v="1"/>
    <x v="1"/>
    <n v="12500"/>
    <n v="0"/>
    <x v="71"/>
    <x v="15"/>
  </r>
  <r>
    <s v="ORD-0384"/>
    <x v="247"/>
    <x v="1"/>
    <x v="2"/>
    <x v="0"/>
    <s v="Anaya"/>
    <n v="6"/>
    <x v="1"/>
    <n v="12500"/>
    <n v="0"/>
    <x v="16"/>
    <x v="15"/>
  </r>
  <r>
    <s v="ORD-0093"/>
    <x v="248"/>
    <x v="2"/>
    <x v="0"/>
    <x v="0"/>
    <s v="Rohan"/>
    <n v="6"/>
    <x v="2"/>
    <n v="2800"/>
    <n v="0.1"/>
    <x v="32"/>
    <x v="15"/>
  </r>
  <r>
    <s v="ORD-0404"/>
    <x v="249"/>
    <x v="2"/>
    <x v="0"/>
    <x v="0"/>
    <s v="Aarav"/>
    <n v="3"/>
    <x v="2"/>
    <n v="2800"/>
    <n v="0.05"/>
    <x v="3"/>
    <x v="15"/>
  </r>
  <r>
    <s v="ORD-0009"/>
    <x v="250"/>
    <x v="3"/>
    <x v="3"/>
    <x v="0"/>
    <s v="Anaya"/>
    <n v="6"/>
    <x v="2"/>
    <n v="1900"/>
    <n v="0"/>
    <x v="69"/>
    <x v="15"/>
  </r>
  <r>
    <s v="ORD-0215"/>
    <x v="250"/>
    <x v="3"/>
    <x v="2"/>
    <x v="0"/>
    <s v="Rohan"/>
    <n v="1"/>
    <x v="2"/>
    <n v="1900"/>
    <n v="0.1"/>
    <x v="77"/>
    <x v="15"/>
  </r>
  <r>
    <s v="ORD-0102"/>
    <x v="251"/>
    <x v="7"/>
    <x v="3"/>
    <x v="0"/>
    <s v="Aarav"/>
    <n v="3"/>
    <x v="2"/>
    <n v="850"/>
    <n v="0.05"/>
    <x v="11"/>
    <x v="15"/>
  </r>
  <r>
    <s v="ORD-0042"/>
    <x v="252"/>
    <x v="4"/>
    <x v="3"/>
    <x v="1"/>
    <s v="Anaya"/>
    <n v="6"/>
    <x v="1"/>
    <n v="9200"/>
    <n v="0.05"/>
    <x v="109"/>
    <x v="15"/>
  </r>
  <r>
    <s v="ORD-0285"/>
    <x v="253"/>
    <x v="5"/>
    <x v="3"/>
    <x v="0"/>
    <s v="Diya"/>
    <n v="6"/>
    <x v="0"/>
    <n v="58000"/>
    <n v="0.05"/>
    <x v="43"/>
    <x v="15"/>
  </r>
  <r>
    <s v="ORD-0249"/>
    <x v="254"/>
    <x v="7"/>
    <x v="0"/>
    <x v="1"/>
    <s v="Rohan"/>
    <n v="4"/>
    <x v="2"/>
    <n v="850"/>
    <n v="0.1"/>
    <x v="94"/>
    <x v="15"/>
  </r>
  <r>
    <s v="ORD-0201"/>
    <x v="254"/>
    <x v="2"/>
    <x v="3"/>
    <x v="0"/>
    <s v="Anaya"/>
    <n v="6"/>
    <x v="2"/>
    <n v="2800"/>
    <n v="0.15"/>
    <x v="150"/>
    <x v="15"/>
  </r>
  <r>
    <s v="ORD-0045"/>
    <x v="255"/>
    <x v="6"/>
    <x v="0"/>
    <x v="0"/>
    <s v="Rohan"/>
    <n v="4"/>
    <x v="0"/>
    <n v="14500"/>
    <n v="0"/>
    <x v="7"/>
    <x v="15"/>
  </r>
  <r>
    <s v="ORD-0269"/>
    <x v="256"/>
    <x v="0"/>
    <x v="3"/>
    <x v="0"/>
    <s v="Meera"/>
    <n v="5"/>
    <x v="0"/>
    <n v="26000"/>
    <n v="0.15"/>
    <x v="138"/>
    <x v="15"/>
  </r>
  <r>
    <s v="ORD-0098"/>
    <x v="257"/>
    <x v="7"/>
    <x v="1"/>
    <x v="0"/>
    <s v="Anaya"/>
    <n v="6"/>
    <x v="2"/>
    <n v="850"/>
    <n v="0.1"/>
    <x v="143"/>
    <x v="15"/>
  </r>
  <r>
    <s v="ORD-0013"/>
    <x v="258"/>
    <x v="1"/>
    <x v="0"/>
    <x v="1"/>
    <s v="Rohan"/>
    <n v="1"/>
    <x v="1"/>
    <n v="12500"/>
    <n v="0"/>
    <x v="71"/>
    <x v="15"/>
  </r>
  <r>
    <s v="ORD-0397"/>
    <x v="259"/>
    <x v="5"/>
    <x v="1"/>
    <x v="1"/>
    <s v="Anaya"/>
    <n v="5"/>
    <x v="0"/>
    <n v="58000"/>
    <n v="0.05"/>
    <x v="53"/>
    <x v="15"/>
  </r>
  <r>
    <s v="ORD-0373"/>
    <x v="260"/>
    <x v="2"/>
    <x v="3"/>
    <x v="0"/>
    <s v="Rohan"/>
    <n v="4"/>
    <x v="2"/>
    <n v="2800"/>
    <n v="0.1"/>
    <x v="52"/>
    <x v="16"/>
  </r>
  <r>
    <s v="ORD-0416"/>
    <x v="260"/>
    <x v="4"/>
    <x v="2"/>
    <x v="0"/>
    <s v="Meera"/>
    <n v="6"/>
    <x v="1"/>
    <n v="9200"/>
    <n v="0.15"/>
    <x v="151"/>
    <x v="16"/>
  </r>
  <r>
    <s v="ORD-0085"/>
    <x v="261"/>
    <x v="1"/>
    <x v="2"/>
    <x v="0"/>
    <s v="Rohan"/>
    <n v="4"/>
    <x v="1"/>
    <n v="12500"/>
    <n v="0.1"/>
    <x v="152"/>
    <x v="16"/>
  </r>
  <r>
    <s v="ORD-0304"/>
    <x v="262"/>
    <x v="5"/>
    <x v="0"/>
    <x v="1"/>
    <s v="Kabir"/>
    <n v="3"/>
    <x v="0"/>
    <n v="58000"/>
    <n v="0.15"/>
    <x v="153"/>
    <x v="16"/>
  </r>
  <r>
    <s v="ORD-0214"/>
    <x v="262"/>
    <x v="7"/>
    <x v="1"/>
    <x v="0"/>
    <s v="Diya"/>
    <n v="6"/>
    <x v="2"/>
    <n v="850"/>
    <n v="0.15"/>
    <x v="86"/>
    <x v="16"/>
  </r>
  <r>
    <s v="ORD-0234"/>
    <x v="263"/>
    <x v="5"/>
    <x v="2"/>
    <x v="0"/>
    <s v="Rohan"/>
    <n v="5"/>
    <x v="0"/>
    <n v="58000"/>
    <n v="0.1"/>
    <x v="30"/>
    <x v="16"/>
  </r>
  <r>
    <s v="ORD-0289"/>
    <x v="264"/>
    <x v="6"/>
    <x v="2"/>
    <x v="0"/>
    <s v="Meera"/>
    <n v="3"/>
    <x v="0"/>
    <n v="14500"/>
    <n v="0.05"/>
    <x v="141"/>
    <x v="16"/>
  </r>
  <r>
    <s v="ORD-0340"/>
    <x v="264"/>
    <x v="5"/>
    <x v="3"/>
    <x v="0"/>
    <s v="Anaya"/>
    <n v="4"/>
    <x v="0"/>
    <n v="58000"/>
    <n v="0"/>
    <x v="61"/>
    <x v="16"/>
  </r>
  <r>
    <s v="ORD-0080"/>
    <x v="265"/>
    <x v="2"/>
    <x v="2"/>
    <x v="1"/>
    <s v="Aarav"/>
    <n v="4"/>
    <x v="2"/>
    <n v="2800"/>
    <n v="0.05"/>
    <x v="26"/>
    <x v="16"/>
  </r>
  <r>
    <s v="ORD-0140"/>
    <x v="266"/>
    <x v="0"/>
    <x v="2"/>
    <x v="1"/>
    <s v="Diya"/>
    <n v="3"/>
    <x v="0"/>
    <n v="26000"/>
    <n v="0.15"/>
    <x v="154"/>
    <x v="16"/>
  </r>
  <r>
    <s v="ORD-0386"/>
    <x v="267"/>
    <x v="4"/>
    <x v="3"/>
    <x v="1"/>
    <s v="Aarav"/>
    <n v="5"/>
    <x v="1"/>
    <n v="9200"/>
    <n v="0.1"/>
    <x v="83"/>
    <x v="16"/>
  </r>
  <r>
    <s v="ORD-0127"/>
    <x v="268"/>
    <x v="5"/>
    <x v="2"/>
    <x v="1"/>
    <s v="Meera"/>
    <n v="3"/>
    <x v="0"/>
    <n v="58000"/>
    <n v="0"/>
    <x v="46"/>
    <x v="16"/>
  </r>
  <r>
    <s v="ORD-0383"/>
    <x v="268"/>
    <x v="1"/>
    <x v="0"/>
    <x v="1"/>
    <s v="Meera"/>
    <n v="4"/>
    <x v="1"/>
    <n v="12500"/>
    <n v="0.1"/>
    <x v="152"/>
    <x v="16"/>
  </r>
  <r>
    <s v="ORD-0253"/>
    <x v="268"/>
    <x v="6"/>
    <x v="0"/>
    <x v="1"/>
    <s v="Meera"/>
    <n v="2"/>
    <x v="0"/>
    <n v="14500"/>
    <n v="0.1"/>
    <x v="115"/>
    <x v="16"/>
  </r>
  <r>
    <s v="ORD-0412"/>
    <x v="269"/>
    <x v="3"/>
    <x v="2"/>
    <x v="0"/>
    <s v="Kabir"/>
    <n v="2"/>
    <x v="2"/>
    <n v="1900"/>
    <n v="0.05"/>
    <x v="155"/>
    <x v="16"/>
  </r>
  <r>
    <s v="ORD-0149"/>
    <x v="270"/>
    <x v="3"/>
    <x v="2"/>
    <x v="0"/>
    <s v="Kabir"/>
    <n v="1"/>
    <x v="2"/>
    <n v="1900"/>
    <n v="0"/>
    <x v="56"/>
    <x v="16"/>
  </r>
  <r>
    <s v="ORD-0352"/>
    <x v="271"/>
    <x v="7"/>
    <x v="3"/>
    <x v="0"/>
    <s v="Aarav"/>
    <n v="2"/>
    <x v="2"/>
    <n v="850"/>
    <n v="0.1"/>
    <x v="12"/>
    <x v="16"/>
  </r>
  <r>
    <s v="ORD-0406"/>
    <x v="272"/>
    <x v="0"/>
    <x v="3"/>
    <x v="0"/>
    <s v="Rohan"/>
    <n v="1"/>
    <x v="0"/>
    <n v="26000"/>
    <n v="0.05"/>
    <x v="31"/>
    <x v="16"/>
  </r>
  <r>
    <s v="ORD-0109"/>
    <x v="273"/>
    <x v="7"/>
    <x v="3"/>
    <x v="0"/>
    <s v="Kabir"/>
    <n v="5"/>
    <x v="2"/>
    <n v="850"/>
    <n v="0.05"/>
    <x v="144"/>
    <x v="16"/>
  </r>
  <r>
    <s v="ORD-0303"/>
    <x v="274"/>
    <x v="5"/>
    <x v="2"/>
    <x v="1"/>
    <s v="Rohan"/>
    <n v="1"/>
    <x v="0"/>
    <n v="58000"/>
    <n v="0.1"/>
    <x v="28"/>
    <x v="16"/>
  </r>
  <r>
    <s v="ORD-0129"/>
    <x v="275"/>
    <x v="7"/>
    <x v="3"/>
    <x v="1"/>
    <s v="Diya"/>
    <n v="6"/>
    <x v="2"/>
    <n v="850"/>
    <n v="0.1"/>
    <x v="143"/>
    <x v="16"/>
  </r>
  <r>
    <s v="ORD-0037"/>
    <x v="275"/>
    <x v="0"/>
    <x v="0"/>
    <x v="0"/>
    <s v="Aarav"/>
    <n v="6"/>
    <x v="0"/>
    <n v="26000"/>
    <n v="0.05"/>
    <x v="123"/>
    <x v="16"/>
  </r>
  <r>
    <s v="ORD-0270"/>
    <x v="276"/>
    <x v="7"/>
    <x v="3"/>
    <x v="0"/>
    <s v="Meera"/>
    <n v="3"/>
    <x v="2"/>
    <n v="850"/>
    <n v="0.15"/>
    <x v="111"/>
    <x v="16"/>
  </r>
  <r>
    <s v="ORD-0339"/>
    <x v="276"/>
    <x v="3"/>
    <x v="3"/>
    <x v="0"/>
    <s v="Meera"/>
    <n v="1"/>
    <x v="2"/>
    <n v="1900"/>
    <n v="0.1"/>
    <x v="77"/>
    <x v="16"/>
  </r>
  <r>
    <s v="ORD-0258"/>
    <x v="277"/>
    <x v="3"/>
    <x v="1"/>
    <x v="0"/>
    <s v="Rohan"/>
    <n v="3"/>
    <x v="2"/>
    <n v="1900"/>
    <n v="0.05"/>
    <x v="62"/>
    <x v="17"/>
  </r>
  <r>
    <s v="ORD-0263"/>
    <x v="277"/>
    <x v="3"/>
    <x v="2"/>
    <x v="0"/>
    <s v="Anaya"/>
    <n v="3"/>
    <x v="2"/>
    <n v="1900"/>
    <n v="0"/>
    <x v="99"/>
    <x v="17"/>
  </r>
  <r>
    <s v="ORD-0402"/>
    <x v="278"/>
    <x v="7"/>
    <x v="1"/>
    <x v="0"/>
    <s v="Anaya"/>
    <n v="6"/>
    <x v="2"/>
    <n v="850"/>
    <n v="0"/>
    <x v="25"/>
    <x v="17"/>
  </r>
  <r>
    <s v="ORD-0297"/>
    <x v="278"/>
    <x v="1"/>
    <x v="1"/>
    <x v="0"/>
    <s v="Rohan"/>
    <n v="1"/>
    <x v="1"/>
    <n v="12500"/>
    <n v="0.15"/>
    <x v="156"/>
    <x v="17"/>
  </r>
  <r>
    <s v="ORD-0286"/>
    <x v="279"/>
    <x v="3"/>
    <x v="0"/>
    <x v="1"/>
    <s v="Meera"/>
    <n v="3"/>
    <x v="2"/>
    <n v="1900"/>
    <n v="0"/>
    <x v="99"/>
    <x v="17"/>
  </r>
  <r>
    <s v="ORD-0010"/>
    <x v="279"/>
    <x v="2"/>
    <x v="0"/>
    <x v="1"/>
    <s v="Diya"/>
    <n v="4"/>
    <x v="2"/>
    <n v="2800"/>
    <n v="0.05"/>
    <x v="26"/>
    <x v="17"/>
  </r>
  <r>
    <s v="ORD-0291"/>
    <x v="280"/>
    <x v="4"/>
    <x v="3"/>
    <x v="1"/>
    <s v="Meera"/>
    <n v="6"/>
    <x v="1"/>
    <n v="9200"/>
    <n v="0.05"/>
    <x v="109"/>
    <x v="17"/>
  </r>
  <r>
    <s v="ORD-0064"/>
    <x v="281"/>
    <x v="1"/>
    <x v="2"/>
    <x v="0"/>
    <s v="Anaya"/>
    <n v="2"/>
    <x v="1"/>
    <n v="12500"/>
    <n v="0.05"/>
    <x v="78"/>
    <x v="17"/>
  </r>
  <r>
    <s v="ORD-0050"/>
    <x v="282"/>
    <x v="5"/>
    <x v="1"/>
    <x v="1"/>
    <s v="Aarav"/>
    <n v="4"/>
    <x v="0"/>
    <n v="58000"/>
    <n v="0.05"/>
    <x v="41"/>
    <x v="17"/>
  </r>
  <r>
    <s v="ORD-0360"/>
    <x v="283"/>
    <x v="1"/>
    <x v="1"/>
    <x v="1"/>
    <s v="Rohan"/>
    <n v="3"/>
    <x v="1"/>
    <n v="12500"/>
    <n v="0.1"/>
    <x v="81"/>
    <x v="17"/>
  </r>
  <r>
    <s v="ORD-0200"/>
    <x v="284"/>
    <x v="2"/>
    <x v="3"/>
    <x v="0"/>
    <s v="Rohan"/>
    <n v="6"/>
    <x v="2"/>
    <n v="2800"/>
    <n v="0.05"/>
    <x v="8"/>
    <x v="17"/>
  </r>
  <r>
    <s v="ORD-0312"/>
    <x v="285"/>
    <x v="3"/>
    <x v="2"/>
    <x v="1"/>
    <s v="Meera"/>
    <n v="5"/>
    <x v="2"/>
    <n v="1900"/>
    <n v="0"/>
    <x v="5"/>
    <x v="17"/>
  </r>
  <r>
    <s v="ORD-0132"/>
    <x v="286"/>
    <x v="1"/>
    <x v="1"/>
    <x v="0"/>
    <s v="Rohan"/>
    <n v="2"/>
    <x v="1"/>
    <n v="12500"/>
    <n v="0"/>
    <x v="136"/>
    <x v="17"/>
  </r>
  <r>
    <s v="ORD-0105"/>
    <x v="286"/>
    <x v="4"/>
    <x v="1"/>
    <x v="0"/>
    <s v="Rohan"/>
    <n v="6"/>
    <x v="1"/>
    <n v="9200"/>
    <n v="0.1"/>
    <x v="21"/>
    <x v="17"/>
  </r>
  <r>
    <s v="ORD-0400"/>
    <x v="286"/>
    <x v="7"/>
    <x v="2"/>
    <x v="1"/>
    <s v="Anaya"/>
    <n v="4"/>
    <x v="2"/>
    <n v="850"/>
    <n v="0.05"/>
    <x v="22"/>
    <x v="17"/>
  </r>
  <r>
    <s v="ORD-0323"/>
    <x v="287"/>
    <x v="3"/>
    <x v="1"/>
    <x v="1"/>
    <s v="Anaya"/>
    <n v="5"/>
    <x v="2"/>
    <n v="1900"/>
    <n v="0"/>
    <x v="5"/>
    <x v="17"/>
  </r>
  <r>
    <s v="ORD-0216"/>
    <x v="288"/>
    <x v="6"/>
    <x v="3"/>
    <x v="0"/>
    <s v="Aarav"/>
    <n v="1"/>
    <x v="0"/>
    <n v="14500"/>
    <n v="0"/>
    <x v="117"/>
    <x v="17"/>
  </r>
  <r>
    <s v="ORD-0147"/>
    <x v="289"/>
    <x v="3"/>
    <x v="2"/>
    <x v="1"/>
    <s v="Kabir"/>
    <n v="2"/>
    <x v="2"/>
    <n v="1900"/>
    <n v="0.1"/>
    <x v="4"/>
    <x v="17"/>
  </r>
  <r>
    <s v="ORD-0062"/>
    <x v="289"/>
    <x v="3"/>
    <x v="0"/>
    <x v="1"/>
    <s v="Aarav"/>
    <n v="3"/>
    <x v="2"/>
    <n v="1900"/>
    <n v="0.05"/>
    <x v="62"/>
    <x v="17"/>
  </r>
  <r>
    <s v="ORD-0230"/>
    <x v="289"/>
    <x v="5"/>
    <x v="2"/>
    <x v="0"/>
    <s v="Kabir"/>
    <n v="1"/>
    <x v="0"/>
    <n v="58000"/>
    <n v="0.05"/>
    <x v="17"/>
    <x v="17"/>
  </r>
  <r>
    <s v="ORD-0172"/>
    <x v="290"/>
    <x v="3"/>
    <x v="0"/>
    <x v="1"/>
    <s v="Rohan"/>
    <n v="2"/>
    <x v="2"/>
    <n v="1900"/>
    <n v="0.15"/>
    <x v="22"/>
    <x v="17"/>
  </r>
  <r>
    <s v="ORD-0046"/>
    <x v="291"/>
    <x v="5"/>
    <x v="1"/>
    <x v="0"/>
    <s v="Meera"/>
    <n v="3"/>
    <x v="0"/>
    <n v="58000"/>
    <n v="0.1"/>
    <x v="98"/>
    <x v="17"/>
  </r>
  <r>
    <s v="ORD-0279"/>
    <x v="292"/>
    <x v="1"/>
    <x v="0"/>
    <x v="0"/>
    <s v="Meera"/>
    <n v="5"/>
    <x v="1"/>
    <n v="12500"/>
    <n v="0.15"/>
    <x v="133"/>
    <x v="17"/>
  </r>
  <r>
    <s v="ORD-0407"/>
    <x v="293"/>
    <x v="0"/>
    <x v="3"/>
    <x v="0"/>
    <s v="Meera"/>
    <n v="6"/>
    <x v="0"/>
    <n v="26000"/>
    <n v="0.1"/>
    <x v="157"/>
    <x v="17"/>
  </r>
  <r>
    <s v="ORD-0418"/>
    <x v="294"/>
    <x v="3"/>
    <x v="0"/>
    <x v="0"/>
    <s v="Anaya"/>
    <n v="3"/>
    <x v="2"/>
    <n v="1900"/>
    <n v="0"/>
    <x v="99"/>
    <x v="17"/>
  </r>
  <r>
    <s v="ORD-0115"/>
    <x v="294"/>
    <x v="1"/>
    <x v="2"/>
    <x v="0"/>
    <s v="Anaya"/>
    <n v="5"/>
    <x v="1"/>
    <n v="12500"/>
    <n v="0"/>
    <x v="68"/>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069956-0A5F-4735-851D-CA8457FA146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1:H16" firstHeaderRow="1" firstDataRow="1" firstDataCol="1"/>
  <pivotFields count="15">
    <pivotField showAll="0"/>
    <pivotField numFmtId="14" showAl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showAll="0">
      <items count="9">
        <item x="1"/>
        <item x="2"/>
        <item x="3"/>
        <item x="5"/>
        <item x="6"/>
        <item x="7"/>
        <item x="4"/>
        <item x="0"/>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items count="4">
        <item x="2"/>
        <item x="0"/>
        <item x="1"/>
        <item t="default"/>
      </items>
    </pivotField>
    <pivotField showAll="0"/>
    <pivotField showAll="0"/>
    <pivotField dataField="1" showAll="0"/>
    <pivotField numFmtId="17" showAll="0">
      <items count="19">
        <item x="0"/>
        <item x="1"/>
        <item x="2"/>
        <item x="3"/>
        <item x="4"/>
        <item x="5"/>
        <item x="6"/>
        <item x="7"/>
        <item x="8"/>
        <item x="9"/>
        <item x="10"/>
        <item x="11"/>
        <item x="12"/>
        <item x="13"/>
        <item x="14"/>
        <item x="15"/>
        <item x="16"/>
        <item x="1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v="1"/>
    </i>
    <i>
      <x v="3"/>
    </i>
    <i>
      <x v="2"/>
    </i>
    <i>
      <x/>
    </i>
    <i t="grand">
      <x/>
    </i>
  </rowItems>
  <colItems count="1">
    <i/>
  </colItems>
  <dataFields count="1">
    <dataField name="Sum of Revenue" fld="10" baseField="0" baseItem="0" numFmtId="164"/>
  </dataFields>
  <formats count="1">
    <format dxfId="43">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87BAC8-AF75-44DA-BBDC-5047DF98264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5:H9" firstHeaderRow="1" firstDataRow="1" firstDataCol="1"/>
  <pivotFields count="15">
    <pivotField showAll="0"/>
    <pivotField numFmtId="14" showAl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showAll="0">
      <items count="9">
        <item x="1"/>
        <item x="2"/>
        <item x="3"/>
        <item x="5"/>
        <item x="6"/>
        <item x="7"/>
        <item x="4"/>
        <item x="0"/>
        <item t="default"/>
      </items>
    </pivotField>
    <pivotField showAll="0">
      <items count="5">
        <item x="2"/>
        <item x="1"/>
        <item x="3"/>
        <item x="0"/>
        <item t="default"/>
      </items>
    </pivotField>
    <pivotField showAll="0">
      <items count="3">
        <item x="0"/>
        <item x="1"/>
        <item t="default"/>
      </items>
    </pivotField>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7" showAll="0">
      <items count="19">
        <item x="0"/>
        <item x="1"/>
        <item x="2"/>
        <item x="3"/>
        <item x="4"/>
        <item x="5"/>
        <item x="6"/>
        <item x="7"/>
        <item x="8"/>
        <item x="9"/>
        <item x="10"/>
        <item x="11"/>
        <item x="12"/>
        <item x="13"/>
        <item x="14"/>
        <item x="15"/>
        <item x="16"/>
        <item x="1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v="1"/>
    </i>
    <i>
      <x v="2"/>
    </i>
    <i>
      <x/>
    </i>
    <i t="grand">
      <x/>
    </i>
  </rowItems>
  <colItems count="1">
    <i/>
  </colItems>
  <dataFields count="1">
    <dataField name="Sum of Revenue" fld="10" baseField="0" baseItem="0" numFmtId="164"/>
  </dataFields>
  <formats count="1">
    <format dxfId="44">
      <pivotArea outline="0" collapsedLevelsAreSubtotals="1" fieldPosition="0"/>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3B79BE-06C6-4B6B-8351-07BC7EBD5AC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5:E14" firstHeaderRow="1" firstDataRow="1" firstDataCol="1"/>
  <pivotFields count="15">
    <pivotField showAll="0"/>
    <pivotField numFmtId="14" showAl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axis="axisRow" showAll="0" sortType="descending">
      <items count="9">
        <item x="1"/>
        <item x="2"/>
        <item x="3"/>
        <item x="5"/>
        <item x="6"/>
        <item x="7"/>
        <item x="4"/>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3">
        <item x="0"/>
        <item x="1"/>
        <item t="default"/>
      </items>
    </pivotField>
    <pivotField showAll="0"/>
    <pivotField showAll="0"/>
    <pivotField showAll="0">
      <items count="4">
        <item x="2"/>
        <item x="0"/>
        <item x="1"/>
        <item t="default"/>
      </items>
    </pivotField>
    <pivotField showAll="0"/>
    <pivotField showAll="0"/>
    <pivotField dataField="1" showAll="0"/>
    <pivotField numFmtId="17" showAll="0">
      <items count="19">
        <item x="0"/>
        <item x="1"/>
        <item x="2"/>
        <item x="3"/>
        <item x="4"/>
        <item x="5"/>
        <item x="6"/>
        <item x="7"/>
        <item x="8"/>
        <item x="9"/>
        <item x="10"/>
        <item x="11"/>
        <item x="12"/>
        <item x="13"/>
        <item x="14"/>
        <item x="15"/>
        <item x="16"/>
        <item x="1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9">
    <i>
      <x v="3"/>
    </i>
    <i>
      <x v="7"/>
    </i>
    <i>
      <x v="4"/>
    </i>
    <i>
      <x/>
    </i>
    <i>
      <x v="6"/>
    </i>
    <i>
      <x v="1"/>
    </i>
    <i>
      <x v="2"/>
    </i>
    <i>
      <x v="5"/>
    </i>
    <i t="grand">
      <x/>
    </i>
  </rowItems>
  <colItems count="1">
    <i/>
  </colItems>
  <dataFields count="1">
    <dataField name="Sum of Revenue" fld="10" baseField="0" baseItem="0" numFmtId="164"/>
  </dataFields>
  <formats count="2">
    <format dxfId="46">
      <pivotArea collapsedLevelsAreSubtotals="1" fieldPosition="0">
        <references count="1">
          <reference field="2" count="0"/>
        </references>
      </pivotArea>
    </format>
    <format dxfId="45">
      <pivotArea outline="0" collapsedLevelsAreSubtotals="1" fieldPosition="0"/>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66D1E9-D0B5-46A2-89E1-D9D13DFF3C2D}"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8:H21" firstHeaderRow="1" firstDataRow="1" firstDataCol="1"/>
  <pivotFields count="15">
    <pivotField showAll="0"/>
    <pivotField numFmtId="14" showAl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showAll="0">
      <items count="9">
        <item x="1"/>
        <item x="2"/>
        <item x="3"/>
        <item x="5"/>
        <item x="6"/>
        <item x="7"/>
        <item x="4"/>
        <item x="0"/>
        <item t="default"/>
      </items>
    </pivotField>
    <pivotField showAll="0">
      <items count="5">
        <item x="2"/>
        <item x="1"/>
        <item x="3"/>
        <item x="0"/>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 showAll="0"/>
    <pivotField showAll="0"/>
    <pivotField dataField="1" showAll="0"/>
    <pivotField numFmtId="17" showAll="0">
      <items count="19">
        <item x="0"/>
        <item x="1"/>
        <item x="2"/>
        <item x="3"/>
        <item x="4"/>
        <item x="5"/>
        <item x="6"/>
        <item x="7"/>
        <item x="8"/>
        <item x="9"/>
        <item x="10"/>
        <item x="11"/>
        <item x="12"/>
        <item x="13"/>
        <item x="14"/>
        <item x="15"/>
        <item x="16"/>
        <item x="1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3">
    <i>
      <x/>
    </i>
    <i>
      <x v="1"/>
    </i>
    <i t="grand">
      <x/>
    </i>
  </rowItems>
  <colItems count="1">
    <i/>
  </colItems>
  <dataFields count="1">
    <dataField name="Sum of Revenue" fld="10" baseField="0" baseItem="0" numFmtId="164"/>
  </dataFields>
  <formats count="1">
    <format dxfId="47">
      <pivotArea outline="0" collapsedLevelsAreSubtotals="1"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D7E1DC-62E7-458C-808E-6D193DF9551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2" firstHeaderRow="1" firstDataRow="1" firstDataCol="1"/>
  <pivotFields count="15">
    <pivotField showAll="0"/>
    <pivotField numFmtId="14" showAl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axis="axisRow" showAll="0" sortType="descending">
      <items count="9">
        <item x="1"/>
        <item x="2"/>
        <item x="3"/>
        <item x="5"/>
        <item x="6"/>
        <item x="7"/>
        <item x="4"/>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3">
        <item x="0"/>
        <item x="1"/>
        <item t="default"/>
      </items>
    </pivotField>
    <pivotField showAll="0"/>
    <pivotField showAll="0"/>
    <pivotField showAll="0">
      <items count="4">
        <item x="2"/>
        <item x="0"/>
        <item x="1"/>
        <item t="default"/>
      </items>
    </pivotField>
    <pivotField showAll="0"/>
    <pivotField showAll="0"/>
    <pivotField dataField="1" showAll="0">
      <items count="159">
        <item x="37"/>
        <item x="89"/>
        <item x="23"/>
        <item x="19"/>
        <item x="12"/>
        <item x="92"/>
        <item x="77"/>
        <item x="50"/>
        <item x="56"/>
        <item x="111"/>
        <item x="122"/>
        <item x="145"/>
        <item x="11"/>
        <item x="2"/>
        <item x="142"/>
        <item x="125"/>
        <item x="139"/>
        <item x="94"/>
        <item x="22"/>
        <item x="64"/>
        <item x="4"/>
        <item x="155"/>
        <item x="84"/>
        <item x="112"/>
        <item x="108"/>
        <item x="144"/>
        <item x="129"/>
        <item x="86"/>
        <item x="143"/>
        <item x="149"/>
        <item x="40"/>
        <item x="20"/>
        <item x="25"/>
        <item x="66"/>
        <item x="120"/>
        <item x="62"/>
        <item x="80"/>
        <item x="99"/>
        <item x="9"/>
        <item x="102"/>
        <item x="91"/>
        <item x="33"/>
        <item x="63"/>
        <item x="3"/>
        <item x="95"/>
        <item x="59"/>
        <item x="13"/>
        <item x="76"/>
        <item x="134"/>
        <item x="5"/>
        <item x="52"/>
        <item x="60"/>
        <item x="156"/>
        <item x="26"/>
        <item x="105"/>
        <item x="103"/>
        <item x="132"/>
        <item x="69"/>
        <item x="47"/>
        <item x="58"/>
        <item x="71"/>
        <item x="51"/>
        <item x="72"/>
        <item x="101"/>
        <item x="49"/>
        <item x="39"/>
        <item x="150"/>
        <item x="117"/>
        <item x="32"/>
        <item x="126"/>
        <item x="8"/>
        <item x="27"/>
        <item x="93"/>
        <item x="130"/>
        <item x="45"/>
        <item x="119"/>
        <item x="57"/>
        <item x="118"/>
        <item x="78"/>
        <item x="79"/>
        <item x="31"/>
        <item x="38"/>
        <item x="136"/>
        <item x="140"/>
        <item x="115"/>
        <item x="88"/>
        <item x="48"/>
        <item x="74"/>
        <item x="96"/>
        <item x="14"/>
        <item x="81"/>
        <item x="6"/>
        <item x="147"/>
        <item x="67"/>
        <item x="124"/>
        <item x="137"/>
        <item x="110"/>
        <item x="55"/>
        <item x="141"/>
        <item x="83"/>
        <item x="73"/>
        <item x="106"/>
        <item x="97"/>
        <item x="152"/>
        <item x="82"/>
        <item x="70"/>
        <item x="151"/>
        <item x="113"/>
        <item x="21"/>
        <item x="1"/>
        <item x="28"/>
        <item x="109"/>
        <item x="133"/>
        <item x="17"/>
        <item x="148"/>
        <item x="15"/>
        <item x="7"/>
        <item x="87"/>
        <item x="68"/>
        <item x="90"/>
        <item x="154"/>
        <item x="114"/>
        <item x="29"/>
        <item x="34"/>
        <item x="107"/>
        <item x="10"/>
        <item x="65"/>
        <item x="16"/>
        <item x="54"/>
        <item x="75"/>
        <item x="42"/>
        <item x="24"/>
        <item x="100"/>
        <item x="104"/>
        <item x="121"/>
        <item x="18"/>
        <item x="35"/>
        <item x="138"/>
        <item x="44"/>
        <item x="127"/>
        <item x="0"/>
        <item x="85"/>
        <item x="157"/>
        <item x="153"/>
        <item x="123"/>
        <item x="98"/>
        <item x="131"/>
        <item x="46"/>
        <item x="146"/>
        <item x="36"/>
        <item x="41"/>
        <item x="61"/>
        <item x="30"/>
        <item x="53"/>
        <item x="135"/>
        <item x="116"/>
        <item x="43"/>
        <item x="128"/>
        <item t="default"/>
      </items>
    </pivotField>
    <pivotField numFmtId="17" showAll="0">
      <items count="19">
        <item x="0"/>
        <item x="1"/>
        <item x="2"/>
        <item x="3"/>
        <item x="4"/>
        <item x="5"/>
        <item x="6"/>
        <item x="7"/>
        <item x="8"/>
        <item x="9"/>
        <item x="10"/>
        <item x="11"/>
        <item x="12"/>
        <item x="13"/>
        <item x="14"/>
        <item x="15"/>
        <item x="16"/>
        <item x="1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9">
    <i>
      <x v="3"/>
    </i>
    <i>
      <x v="7"/>
    </i>
    <i>
      <x v="4"/>
    </i>
    <i>
      <x/>
    </i>
    <i>
      <x v="6"/>
    </i>
    <i>
      <x v="1"/>
    </i>
    <i>
      <x v="2"/>
    </i>
    <i>
      <x v="5"/>
    </i>
    <i t="grand">
      <x/>
    </i>
  </rowItems>
  <colItems count="1">
    <i/>
  </colItems>
  <dataFields count="1">
    <dataField name="Sum of Revenue" fld="10" baseField="0" baseItem="0"/>
  </dataFields>
  <formats count="1">
    <format dxfId="42">
      <pivotArea collapsedLevelsAreSubtotals="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45BD10-B5A3-40CF-950A-E0810425F0B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7" firstHeaderRow="1" firstDataRow="1" firstDataCol="1"/>
  <pivotFields count="15">
    <pivotField showAll="0"/>
    <pivotField numFmtId="14" showAl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showAll="0">
      <items count="9">
        <item x="1"/>
        <item x="2"/>
        <item x="3"/>
        <item x="5"/>
        <item x="6"/>
        <item x="7"/>
        <item x="4"/>
        <item x="0"/>
        <item t="default"/>
      </items>
    </pivotField>
    <pivotField showAll="0">
      <items count="5">
        <item x="2"/>
        <item x="1"/>
        <item x="3"/>
        <item x="0"/>
        <item t="default"/>
      </items>
    </pivotField>
    <pivotField showAll="0">
      <items count="3">
        <item x="0"/>
        <item x="1"/>
        <item t="default"/>
      </items>
    </pivotField>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7" showAll="0">
      <items count="19">
        <item x="0"/>
        <item x="1"/>
        <item x="2"/>
        <item x="3"/>
        <item x="4"/>
        <item x="5"/>
        <item x="6"/>
        <item x="7"/>
        <item x="8"/>
        <item x="9"/>
        <item x="10"/>
        <item x="11"/>
        <item x="12"/>
        <item x="13"/>
        <item x="14"/>
        <item x="15"/>
        <item x="16"/>
        <item x="1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v="1"/>
    </i>
    <i>
      <x v="2"/>
    </i>
    <i>
      <x/>
    </i>
    <i t="grand">
      <x/>
    </i>
  </rowItems>
  <colItems count="1">
    <i/>
  </colItems>
  <dataFields count="1">
    <dataField name="Sum of Revenue" fld="10" baseField="0" baseItem="0" numFmtId="164"/>
  </dataFields>
  <formats count="1">
    <format dxfId="4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BABED4-9644-4F6C-8A44-960C8178FF2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pivotFields count="15">
    <pivotField showAll="0"/>
    <pivotField numFmtId="14" showAl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showAll="0">
      <items count="9">
        <item x="1"/>
        <item x="2"/>
        <item x="3"/>
        <item x="5"/>
        <item x="6"/>
        <item x="7"/>
        <item x="4"/>
        <item x="0"/>
        <item t="default"/>
      </items>
    </pivotField>
    <pivotField axis="axisRow" showAll="0">
      <items count="5">
        <item x="2"/>
        <item x="1"/>
        <item x="3"/>
        <item x="0"/>
        <item t="default"/>
      </items>
    </pivotField>
    <pivotField showAll="0">
      <items count="3">
        <item x="0"/>
        <item x="1"/>
        <item t="default"/>
      </items>
    </pivotField>
    <pivotField showAll="0"/>
    <pivotField showAll="0"/>
    <pivotField showAll="0">
      <items count="4">
        <item x="2"/>
        <item x="0"/>
        <item x="1"/>
        <item t="default"/>
      </items>
    </pivotField>
    <pivotField showAll="0"/>
    <pivotField showAll="0"/>
    <pivotField dataField="1" showAll="0"/>
    <pivotField numFmtId="17" showAll="0">
      <items count="19">
        <item x="0"/>
        <item x="1"/>
        <item x="2"/>
        <item x="3"/>
        <item x="4"/>
        <item x="5"/>
        <item x="6"/>
        <item x="7"/>
        <item x="8"/>
        <item x="9"/>
        <item x="10"/>
        <item x="11"/>
        <item x="12"/>
        <item x="13"/>
        <item x="14"/>
        <item x="15"/>
        <item x="16"/>
        <item x="1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Revenue"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F27FE2-02EE-4FED-8B6A-6A71C8E3AEB1}"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6" firstHeaderRow="1" firstDataRow="1" firstDataCol="1"/>
  <pivotFields count="15">
    <pivotField showAll="0"/>
    <pivotField numFmtId="14" showAl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showAll="0">
      <items count="9">
        <item x="1"/>
        <item x="2"/>
        <item x="3"/>
        <item x="5"/>
        <item x="6"/>
        <item x="7"/>
        <item x="4"/>
        <item x="0"/>
        <item t="default"/>
      </items>
    </pivotField>
    <pivotField showAll="0">
      <items count="5">
        <item x="2"/>
        <item x="1"/>
        <item x="3"/>
        <item x="0"/>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 showAll="0"/>
    <pivotField showAll="0"/>
    <pivotField dataField="1" showAll="0"/>
    <pivotField numFmtId="17" showAll="0">
      <items count="19">
        <item x="0"/>
        <item x="1"/>
        <item x="2"/>
        <item x="3"/>
        <item x="4"/>
        <item x="5"/>
        <item x="6"/>
        <item x="7"/>
        <item x="8"/>
        <item x="9"/>
        <item x="10"/>
        <item x="11"/>
        <item x="12"/>
        <item x="13"/>
        <item x="14"/>
        <item x="15"/>
        <item x="16"/>
        <item x="1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3">
    <i>
      <x/>
    </i>
    <i>
      <x v="1"/>
    </i>
    <i t="grand">
      <x/>
    </i>
  </rowItems>
  <colItems count="1">
    <i/>
  </colItems>
  <dataFields count="1">
    <dataField name="Sum of Revenue" fld="10" baseField="0" baseItem="0" numFmtId="164"/>
  </dataFields>
  <formats count="1">
    <format dxfId="4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4" count="1" selected="0">
            <x v="0"/>
          </reference>
        </references>
      </pivotArea>
    </chartFormat>
    <chartFormat chart="8" format="6">
      <pivotArea type="data" outline="0" fieldPosition="0">
        <references count="2">
          <reference field="4294967294" count="1" selected="0">
            <x v="0"/>
          </reference>
          <reference field="4" count="1" selected="0">
            <x v="1"/>
          </reference>
        </references>
      </pivotArea>
    </chartFormat>
    <chartFormat chart="5" format="1">
      <pivotArea type="data" outline="0" fieldPosition="0">
        <references count="2">
          <reference field="4294967294" count="1" selected="0">
            <x v="0"/>
          </reference>
          <reference field="4" count="1" selected="0">
            <x v="0"/>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0216B7-0FD0-4CD6-A4BE-AD4452AA371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34" firstHeaderRow="1" firstDataRow="1" firstDataCol="1"/>
  <pivotFields count="15">
    <pivotField showAll="0"/>
    <pivotField numFmtId="14" showAl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showAll="0">
      <items count="9">
        <item x="1"/>
        <item x="2"/>
        <item x="3"/>
        <item x="5"/>
        <item x="6"/>
        <item x="7"/>
        <item x="4"/>
        <item x="0"/>
        <item t="default"/>
      </items>
    </pivotField>
    <pivotField showAll="0">
      <items count="5">
        <item x="2"/>
        <item x="1"/>
        <item x="3"/>
        <item x="0"/>
        <item t="default"/>
      </items>
    </pivotField>
    <pivotField showAll="0">
      <items count="3">
        <item x="0"/>
        <item x="1"/>
        <item t="default"/>
      </items>
    </pivotField>
    <pivotField showAll="0"/>
    <pivotField showAll="0"/>
    <pivotField showAll="0">
      <items count="4">
        <item x="2"/>
        <item x="0"/>
        <item x="1"/>
        <item t="default"/>
      </items>
    </pivotField>
    <pivotField showAll="0"/>
    <pivotField showAll="0"/>
    <pivotField dataField="1" showAll="0"/>
    <pivotField numFmtId="17" showAll="0">
      <items count="19">
        <item x="0"/>
        <item x="1"/>
        <item x="2"/>
        <item x="3"/>
        <item x="4"/>
        <item x="5"/>
        <item x="6"/>
        <item x="7"/>
        <item x="8"/>
        <item x="9"/>
        <item x="10"/>
        <item x="11"/>
        <item x="12"/>
        <item x="13"/>
        <item x="14"/>
        <item x="15"/>
        <item x="16"/>
        <item x="17"/>
        <item t="default"/>
      </items>
    </pivotField>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4">
        <item x="0"/>
        <item x="1"/>
        <item x="2"/>
        <item x="3"/>
      </items>
    </pivotField>
  </pivotFields>
  <rowFields count="2">
    <field x="12"/>
    <field x="14"/>
  </rowFields>
  <rowItems count="31">
    <i>
      <x v="1"/>
    </i>
    <i r="1">
      <x v="1"/>
    </i>
    <i r="1">
      <x v="2"/>
    </i>
    <i>
      <x v="2"/>
    </i>
    <i r="1">
      <x v="1"/>
    </i>
    <i r="1">
      <x v="2"/>
    </i>
    <i>
      <x v="3"/>
    </i>
    <i r="1">
      <x v="1"/>
    </i>
    <i r="1">
      <x v="2"/>
    </i>
    <i>
      <x v="4"/>
    </i>
    <i r="1">
      <x v="1"/>
    </i>
    <i r="1">
      <x v="2"/>
    </i>
    <i>
      <x v="5"/>
    </i>
    <i r="1">
      <x v="1"/>
    </i>
    <i r="1">
      <x v="2"/>
    </i>
    <i>
      <x v="6"/>
    </i>
    <i r="1">
      <x v="1"/>
    </i>
    <i r="1">
      <x v="2"/>
    </i>
    <i>
      <x v="7"/>
    </i>
    <i r="1">
      <x v="1"/>
    </i>
    <i>
      <x v="8"/>
    </i>
    <i r="1">
      <x v="1"/>
    </i>
    <i>
      <x v="9"/>
    </i>
    <i r="1">
      <x v="1"/>
    </i>
    <i>
      <x v="10"/>
    </i>
    <i r="1">
      <x v="1"/>
    </i>
    <i>
      <x v="11"/>
    </i>
    <i r="1">
      <x v="1"/>
    </i>
    <i>
      <x v="12"/>
    </i>
    <i r="1">
      <x v="1"/>
    </i>
    <i t="grand">
      <x/>
    </i>
  </rowItems>
  <colItems count="1">
    <i/>
  </colItems>
  <dataFields count="1">
    <dataField name="Sum of Revenue"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6C7A723-D252-4525-BB82-250857A5D24D}" sourceName="Product">
  <pivotTables>
    <pivotTable tabId="3" name="PivotTable1"/>
    <pivotTable tabId="2" name="PivotTable2"/>
    <pivotTable tabId="2" name="PivotTable4"/>
    <pivotTable tabId="2" name="PivotTable6"/>
    <pivotTable tabId="2" name="PivotTable8"/>
    <pivotTable tabId="4" name="PivotTable3"/>
    <pivotTable tabId="7" name="PivotTable7"/>
    <pivotTable tabId="6" name="PivotTable5"/>
    <pivotTable tabId="11" name="PivotTable2"/>
  </pivotTables>
  <data>
    <tabular pivotCacheId="1417497819">
      <items count="8">
        <i x="1" s="1"/>
        <i x="2" s="1"/>
        <i x="3" s="1"/>
        <i x="5" s="1"/>
        <i x="6" s="1"/>
        <i x="7"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21514D-BF6D-486E-90C5-AF4F283B5DD4}" sourceName="Category">
  <pivotTables>
    <pivotTable tabId="4" name="PivotTable3"/>
    <pivotTable tabId="2" name="PivotTable2"/>
    <pivotTable tabId="2" name="PivotTable4"/>
    <pivotTable tabId="2" name="PivotTable6"/>
    <pivotTable tabId="2" name="PivotTable8"/>
    <pivotTable tabId="7" name="PivotTable7"/>
    <pivotTable tabId="3" name="PivotTable1"/>
    <pivotTable tabId="6" name="PivotTable5"/>
    <pivotTable tabId="11" name="PivotTable2"/>
  </pivotTables>
  <data>
    <tabular pivotCacheId="141749781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9CD1F7-6EF6-4BFA-AFA6-C3479699A1E1}" sourceName="Region">
  <pivotTables>
    <pivotTable tabId="6" name="PivotTable5"/>
    <pivotTable tabId="2" name="PivotTable2"/>
    <pivotTable tabId="2" name="PivotTable4"/>
    <pivotTable tabId="2" name="PivotTable6"/>
    <pivotTable tabId="2" name="PivotTable8"/>
    <pivotTable tabId="4" name="PivotTable3"/>
    <pivotTable tabId="7" name="PivotTable7"/>
    <pivotTable tabId="3" name="PivotTable1"/>
    <pivotTable tabId="11" name="PivotTable2"/>
  </pivotTables>
  <data>
    <tabular pivotCacheId="1417497819">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A41B12F-BBC2-439E-A3DF-A9081920CC4F}" sourceName="Channel">
  <pivotTables>
    <pivotTable tabId="7" name="PivotTable7"/>
    <pivotTable tabId="2" name="PivotTable2"/>
    <pivotTable tabId="2" name="PivotTable4"/>
    <pivotTable tabId="2" name="PivotTable6"/>
    <pivotTable tabId="2" name="PivotTable8"/>
    <pivotTable tabId="4" name="PivotTable3"/>
    <pivotTable tabId="3" name="PivotTable1"/>
    <pivotTable tabId="6" name="PivotTable5"/>
    <pivotTable tabId="11" name="PivotTable2"/>
  </pivotTables>
  <data>
    <tabular pivotCacheId="141749781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372D456-C1CC-40F4-B3FC-5C2E54516F09}"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89320D4-5EA5-4DE1-874D-B0490B31BC3C}"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83D4CCD-A7B7-4AEF-BCC9-6E501E0B11C9}" cache="Slicer_Region" caption="Regi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7DDA499A-62C1-422C-97D4-E442B63E9920}" cache="Slicer_Channel" caption="Channel"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14CB221-EBC4-4607-A998-E2F80CD4F43A}" cache="Slicer_Product" caption="Product" rowHeight="234950"/>
  <slicer name="Category 1" xr10:uid="{9A4DA4CB-6BA9-4F9B-AB6C-6A27C8A28AD1}" cache="Slicer_Category" caption="Category" rowHeight="234950"/>
  <slicer name="Region 1" xr10:uid="{BAF02E93-CAB2-4F5E-9779-7BD093AC8885}" cache="Slicer_Region" caption="Region" rowHeight="234950"/>
  <slicer name="Channel 1" xr10:uid="{34AF0AD7-2FFE-4859-AA36-0E4EF7BB10DF}" cache="Slicer_Channel" caption="Chann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A0EF18-EC4E-4203-89BF-EE8867770803}" name="Table1" displayName="Table1" ref="A1:L421" totalsRowShown="0">
  <autoFilter ref="A1:L421" xr:uid="{17A0EF18-EC4E-4203-89BF-EE8867770803}"/>
  <tableColumns count="12">
    <tableColumn id="1" xr3:uid="{D60935DE-A77C-47AB-B782-6D50ED40827F}" name="Order ID"/>
    <tableColumn id="2" xr3:uid="{B655D85A-6471-426F-A91F-413B0865656C}" name="Date" dataDxfId="49"/>
    <tableColumn id="3" xr3:uid="{3558EE74-39F6-41D4-875E-7A8317B8FCC6}" name="Product"/>
    <tableColumn id="4" xr3:uid="{EBCA58CB-E695-42F7-B388-B2DBAFB98C3E}" name="Region"/>
    <tableColumn id="5" xr3:uid="{CAAC140F-6EC3-4541-8020-FC56571A27C7}" name="Channel"/>
    <tableColumn id="6" xr3:uid="{54595263-245C-40CB-ABD4-31171EEFF96C}" name="Salesperson"/>
    <tableColumn id="7" xr3:uid="{286B871C-67DC-4CA0-B92C-9BDEA6DFFF21}" name="Quantity"/>
    <tableColumn id="8" xr3:uid="{33C37281-681C-42EF-B513-03A58C239828}" name="Category"/>
    <tableColumn id="9" xr3:uid="{C4C84C76-3F17-435F-92AF-9F545DF3DA74}" name="Unit Price"/>
    <tableColumn id="10" xr3:uid="{EC56E00E-C4E6-4FA6-B090-D535B2A35C9F}" name="Discount %"/>
    <tableColumn id="11" xr3:uid="{AC782B87-B48A-4CD3-BFBE-4AB897C2CE18}" name="Revenue"/>
    <tableColumn id="12" xr3:uid="{D55063EC-116F-4F0E-B3B6-B9EE91C58E34}" name="Month" dataDxfId="48"/>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 xr10:uid="{9B6C8C85-4BE8-4E18-A9CB-6CD08392F7C5}" sourceName="Month">
  <pivotTables>
    <pivotTable tabId="11" name="PivotTable2"/>
    <pivotTable tabId="2" name="PivotTable2"/>
    <pivotTable tabId="2" name="PivotTable4"/>
    <pivotTable tabId="2" name="PivotTable6"/>
    <pivotTable tabId="2" name="PivotTable8"/>
    <pivotTable tabId="4" name="PivotTable3"/>
    <pivotTable tabId="7" name="PivotTable7"/>
    <pivotTable tabId="3" name="PivotTable1"/>
    <pivotTable tabId="6" name="PivotTable5"/>
  </pivotTables>
  <state minimalRefreshVersion="6" lastRefreshVersion="6" pivotCacheId="1417497819"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xr10:uid="{E350194E-44EF-47A7-9795-3A5C1038DA16}" cache="NativeTimeline_Month" caption="Month"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1" xr10:uid="{05564155-2109-426E-B788-B189B5D80FE4}" cache="NativeTimeline_Month" caption="Month"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E9AB-D185-44C9-BFC9-A98F51377B09}">
  <dimension ref="A1:L421"/>
  <sheetViews>
    <sheetView workbookViewId="0">
      <pane ySplit="1" topLeftCell="A2" activePane="bottomLeft" state="frozen"/>
      <selection pane="bottomLeft" activeCell="A2" sqref="A2"/>
    </sheetView>
  </sheetViews>
  <sheetFormatPr defaultRowHeight="13.8" x14ac:dyDescent="0.25"/>
  <cols>
    <col min="1" max="1" width="9.796875" customWidth="1"/>
    <col min="2" max="2" width="10.296875" customWidth="1"/>
    <col min="3" max="3" width="11" customWidth="1"/>
    <col min="4" max="4" width="8.59765625" customWidth="1"/>
    <col min="5" max="5" width="9.69921875" customWidth="1"/>
    <col min="6" max="6" width="12.796875" customWidth="1"/>
    <col min="7" max="7" width="10.09765625" customWidth="1"/>
    <col min="8" max="8" width="10.3984375" customWidth="1"/>
    <col min="9" max="9" width="10.8984375" customWidth="1"/>
    <col min="10" max="10" width="12" customWidth="1"/>
    <col min="11" max="11" width="10.09765625" customWidth="1"/>
    <col min="12" max="12" width="8.59765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s="1">
        <v>45658</v>
      </c>
      <c r="C2" t="s">
        <v>13</v>
      </c>
      <c r="D2" t="s">
        <v>14</v>
      </c>
      <c r="E2" t="s">
        <v>15</v>
      </c>
      <c r="F2" t="s">
        <v>16</v>
      </c>
      <c r="G2">
        <v>5</v>
      </c>
      <c r="H2" t="s">
        <v>17</v>
      </c>
      <c r="I2">
        <v>26000</v>
      </c>
      <c r="J2">
        <v>0.05</v>
      </c>
      <c r="K2">
        <v>123500</v>
      </c>
      <c r="L2" s="2">
        <v>45658</v>
      </c>
    </row>
    <row r="3" spans="1:12" x14ac:dyDescent="0.25">
      <c r="A3" t="s">
        <v>18</v>
      </c>
      <c r="B3" s="1">
        <v>45659</v>
      </c>
      <c r="C3" t="s">
        <v>19</v>
      </c>
      <c r="D3" t="s">
        <v>20</v>
      </c>
      <c r="E3" t="s">
        <v>21</v>
      </c>
      <c r="F3" t="s">
        <v>22</v>
      </c>
      <c r="G3">
        <v>4</v>
      </c>
      <c r="H3" t="s">
        <v>23</v>
      </c>
      <c r="I3">
        <v>12500</v>
      </c>
      <c r="J3">
        <v>0</v>
      </c>
      <c r="K3">
        <v>50000</v>
      </c>
      <c r="L3" s="2">
        <v>45658</v>
      </c>
    </row>
    <row r="4" spans="1:12" x14ac:dyDescent="0.25">
      <c r="A4" t="s">
        <v>24</v>
      </c>
      <c r="B4" s="1">
        <v>45659</v>
      </c>
      <c r="C4" t="s">
        <v>25</v>
      </c>
      <c r="D4" t="s">
        <v>14</v>
      </c>
      <c r="E4" t="s">
        <v>15</v>
      </c>
      <c r="F4" t="s">
        <v>26</v>
      </c>
      <c r="G4">
        <v>1</v>
      </c>
      <c r="H4" t="s">
        <v>27</v>
      </c>
      <c r="I4">
        <v>2800</v>
      </c>
      <c r="J4">
        <v>0.1</v>
      </c>
      <c r="K4">
        <v>2520</v>
      </c>
      <c r="L4" s="2">
        <v>45658</v>
      </c>
    </row>
    <row r="5" spans="1:12" x14ac:dyDescent="0.25">
      <c r="A5" t="s">
        <v>28</v>
      </c>
      <c r="B5" s="1">
        <v>45660</v>
      </c>
      <c r="C5" t="s">
        <v>25</v>
      </c>
      <c r="D5" t="s">
        <v>29</v>
      </c>
      <c r="E5" t="s">
        <v>15</v>
      </c>
      <c r="F5" t="s">
        <v>30</v>
      </c>
      <c r="G5">
        <v>3</v>
      </c>
      <c r="H5" t="s">
        <v>27</v>
      </c>
      <c r="I5">
        <v>2800</v>
      </c>
      <c r="J5">
        <v>0.05</v>
      </c>
      <c r="K5">
        <v>7980</v>
      </c>
      <c r="L5" s="2">
        <v>45658</v>
      </c>
    </row>
    <row r="6" spans="1:12" x14ac:dyDescent="0.25">
      <c r="A6" t="s">
        <v>31</v>
      </c>
      <c r="B6" s="1">
        <v>45662</v>
      </c>
      <c r="C6" t="s">
        <v>32</v>
      </c>
      <c r="D6" t="s">
        <v>20</v>
      </c>
      <c r="E6" t="s">
        <v>21</v>
      </c>
      <c r="F6" t="s">
        <v>33</v>
      </c>
      <c r="G6">
        <v>2</v>
      </c>
      <c r="H6" t="s">
        <v>27</v>
      </c>
      <c r="I6">
        <v>1900</v>
      </c>
      <c r="J6">
        <v>0.1</v>
      </c>
      <c r="K6">
        <v>3420</v>
      </c>
      <c r="L6" s="2">
        <v>45658</v>
      </c>
    </row>
    <row r="7" spans="1:12" x14ac:dyDescent="0.25">
      <c r="A7" t="s">
        <v>34</v>
      </c>
      <c r="B7" s="1">
        <v>45663</v>
      </c>
      <c r="C7" t="s">
        <v>32</v>
      </c>
      <c r="D7" t="s">
        <v>14</v>
      </c>
      <c r="E7" t="s">
        <v>21</v>
      </c>
      <c r="F7" t="s">
        <v>26</v>
      </c>
      <c r="G7">
        <v>5</v>
      </c>
      <c r="H7" t="s">
        <v>27</v>
      </c>
      <c r="I7">
        <v>1900</v>
      </c>
      <c r="J7">
        <v>0</v>
      </c>
      <c r="K7">
        <v>9500</v>
      </c>
      <c r="L7" s="2">
        <v>45658</v>
      </c>
    </row>
    <row r="8" spans="1:12" x14ac:dyDescent="0.25">
      <c r="A8" t="s">
        <v>35</v>
      </c>
      <c r="B8" s="1">
        <v>45666</v>
      </c>
      <c r="C8" t="s">
        <v>36</v>
      </c>
      <c r="D8" t="s">
        <v>29</v>
      </c>
      <c r="E8" t="s">
        <v>15</v>
      </c>
      <c r="F8" t="s">
        <v>30</v>
      </c>
      <c r="G8">
        <v>4</v>
      </c>
      <c r="H8" t="s">
        <v>23</v>
      </c>
      <c r="I8">
        <v>9200</v>
      </c>
      <c r="J8">
        <v>0.05</v>
      </c>
      <c r="K8">
        <v>34960</v>
      </c>
      <c r="L8" s="2">
        <v>45658</v>
      </c>
    </row>
    <row r="9" spans="1:12" x14ac:dyDescent="0.25">
      <c r="A9" t="s">
        <v>37</v>
      </c>
      <c r="B9" s="1">
        <v>45666</v>
      </c>
      <c r="C9" t="s">
        <v>38</v>
      </c>
      <c r="D9" t="s">
        <v>29</v>
      </c>
      <c r="E9" t="s">
        <v>15</v>
      </c>
      <c r="F9" t="s">
        <v>26</v>
      </c>
      <c r="G9">
        <v>1</v>
      </c>
      <c r="H9" t="s">
        <v>17</v>
      </c>
      <c r="I9">
        <v>58000</v>
      </c>
      <c r="J9">
        <v>0</v>
      </c>
      <c r="K9">
        <v>58000</v>
      </c>
      <c r="L9" s="2">
        <v>45658</v>
      </c>
    </row>
    <row r="10" spans="1:12" x14ac:dyDescent="0.25">
      <c r="A10" t="s">
        <v>39</v>
      </c>
      <c r="B10" s="1">
        <v>45668</v>
      </c>
      <c r="C10" t="s">
        <v>25</v>
      </c>
      <c r="D10" t="s">
        <v>14</v>
      </c>
      <c r="E10" t="s">
        <v>15</v>
      </c>
      <c r="F10" t="s">
        <v>16</v>
      </c>
      <c r="G10">
        <v>6</v>
      </c>
      <c r="H10" t="s">
        <v>27</v>
      </c>
      <c r="I10">
        <v>2800</v>
      </c>
      <c r="J10">
        <v>0.05</v>
      </c>
      <c r="K10">
        <v>15960</v>
      </c>
      <c r="L10" s="2">
        <v>45658</v>
      </c>
    </row>
    <row r="11" spans="1:12" x14ac:dyDescent="0.25">
      <c r="A11" t="s">
        <v>40</v>
      </c>
      <c r="B11" s="1">
        <v>45669</v>
      </c>
      <c r="C11" t="s">
        <v>32</v>
      </c>
      <c r="D11" t="s">
        <v>29</v>
      </c>
      <c r="E11" t="s">
        <v>15</v>
      </c>
      <c r="F11" t="s">
        <v>22</v>
      </c>
      <c r="G11">
        <v>4</v>
      </c>
      <c r="H11" t="s">
        <v>27</v>
      </c>
      <c r="I11">
        <v>1900</v>
      </c>
      <c r="J11">
        <v>0.1</v>
      </c>
      <c r="K11">
        <v>6840</v>
      </c>
      <c r="L11" s="2">
        <v>45658</v>
      </c>
    </row>
    <row r="12" spans="1:12" x14ac:dyDescent="0.25">
      <c r="A12" t="s">
        <v>41</v>
      </c>
      <c r="B12" s="1">
        <v>45670</v>
      </c>
      <c r="C12" t="s">
        <v>42</v>
      </c>
      <c r="D12" t="s">
        <v>14</v>
      </c>
      <c r="E12" t="s">
        <v>21</v>
      </c>
      <c r="F12" t="s">
        <v>43</v>
      </c>
      <c r="G12">
        <v>4</v>
      </c>
      <c r="H12" t="s">
        <v>17</v>
      </c>
      <c r="I12">
        <v>14500</v>
      </c>
      <c r="J12">
        <v>0</v>
      </c>
      <c r="K12">
        <v>58000</v>
      </c>
      <c r="L12" s="2">
        <v>45658</v>
      </c>
    </row>
    <row r="13" spans="1:12" x14ac:dyDescent="0.25">
      <c r="A13" t="s">
        <v>44</v>
      </c>
      <c r="B13" s="1">
        <v>45674</v>
      </c>
      <c r="C13" t="s">
        <v>42</v>
      </c>
      <c r="D13" t="s">
        <v>14</v>
      </c>
      <c r="E13" t="s">
        <v>21</v>
      </c>
      <c r="F13" t="s">
        <v>22</v>
      </c>
      <c r="G13">
        <v>5</v>
      </c>
      <c r="H13" t="s">
        <v>17</v>
      </c>
      <c r="I13">
        <v>14500</v>
      </c>
      <c r="J13">
        <v>0</v>
      </c>
      <c r="K13">
        <v>72500</v>
      </c>
      <c r="L13" s="2">
        <v>45658</v>
      </c>
    </row>
    <row r="14" spans="1:12" x14ac:dyDescent="0.25">
      <c r="A14" t="s">
        <v>45</v>
      </c>
      <c r="B14" s="1">
        <v>45675</v>
      </c>
      <c r="C14" t="s">
        <v>46</v>
      </c>
      <c r="D14" t="s">
        <v>47</v>
      </c>
      <c r="E14" t="s">
        <v>15</v>
      </c>
      <c r="F14" t="s">
        <v>30</v>
      </c>
      <c r="G14">
        <v>3</v>
      </c>
      <c r="H14" t="s">
        <v>27</v>
      </c>
      <c r="I14">
        <v>850</v>
      </c>
      <c r="J14">
        <v>0.05</v>
      </c>
      <c r="K14">
        <v>2422.5</v>
      </c>
      <c r="L14" s="2">
        <v>45658</v>
      </c>
    </row>
    <row r="15" spans="1:12" x14ac:dyDescent="0.25">
      <c r="A15" t="s">
        <v>48</v>
      </c>
      <c r="B15" s="1">
        <v>45678</v>
      </c>
      <c r="C15" t="s">
        <v>36</v>
      </c>
      <c r="D15" t="s">
        <v>14</v>
      </c>
      <c r="E15" t="s">
        <v>15</v>
      </c>
      <c r="F15" t="s">
        <v>26</v>
      </c>
      <c r="G15">
        <v>4</v>
      </c>
      <c r="H15" t="s">
        <v>23</v>
      </c>
      <c r="I15">
        <v>9200</v>
      </c>
      <c r="J15">
        <v>0.05</v>
      </c>
      <c r="K15">
        <v>34960</v>
      </c>
      <c r="L15" s="2">
        <v>45658</v>
      </c>
    </row>
    <row r="16" spans="1:12" x14ac:dyDescent="0.25">
      <c r="A16" t="s">
        <v>49</v>
      </c>
      <c r="B16" s="1">
        <v>45679</v>
      </c>
      <c r="C16" t="s">
        <v>46</v>
      </c>
      <c r="D16" t="s">
        <v>47</v>
      </c>
      <c r="E16" t="s">
        <v>15</v>
      </c>
      <c r="F16" t="s">
        <v>33</v>
      </c>
      <c r="G16">
        <v>2</v>
      </c>
      <c r="H16" t="s">
        <v>27</v>
      </c>
      <c r="I16">
        <v>850</v>
      </c>
      <c r="J16">
        <v>0.1</v>
      </c>
      <c r="K16">
        <v>1530</v>
      </c>
      <c r="L16" s="2">
        <v>45658</v>
      </c>
    </row>
    <row r="17" spans="1:12" x14ac:dyDescent="0.25">
      <c r="A17" t="s">
        <v>50</v>
      </c>
      <c r="B17" s="1">
        <v>45679</v>
      </c>
      <c r="C17" t="s">
        <v>32</v>
      </c>
      <c r="D17" t="s">
        <v>20</v>
      </c>
      <c r="E17" t="s">
        <v>15</v>
      </c>
      <c r="F17" t="s">
        <v>16</v>
      </c>
      <c r="G17">
        <v>5</v>
      </c>
      <c r="H17" t="s">
        <v>27</v>
      </c>
      <c r="I17">
        <v>1900</v>
      </c>
      <c r="J17">
        <v>0.1</v>
      </c>
      <c r="K17">
        <v>8550</v>
      </c>
      <c r="L17" s="2">
        <v>45658</v>
      </c>
    </row>
    <row r="18" spans="1:12" x14ac:dyDescent="0.25">
      <c r="A18" t="s">
        <v>51</v>
      </c>
      <c r="B18" s="1">
        <v>45680</v>
      </c>
      <c r="C18" t="s">
        <v>46</v>
      </c>
      <c r="D18" t="s">
        <v>29</v>
      </c>
      <c r="E18" t="s">
        <v>15</v>
      </c>
      <c r="F18" t="s">
        <v>22</v>
      </c>
      <c r="G18">
        <v>3</v>
      </c>
      <c r="H18" t="s">
        <v>27</v>
      </c>
      <c r="I18">
        <v>850</v>
      </c>
      <c r="J18">
        <v>0.05</v>
      </c>
      <c r="K18">
        <v>2422.5</v>
      </c>
      <c r="L18" s="2">
        <v>45658</v>
      </c>
    </row>
    <row r="19" spans="1:12" x14ac:dyDescent="0.25">
      <c r="A19" t="s">
        <v>52</v>
      </c>
      <c r="B19" s="1">
        <v>45681</v>
      </c>
      <c r="C19" t="s">
        <v>36</v>
      </c>
      <c r="D19" t="s">
        <v>20</v>
      </c>
      <c r="E19" t="s">
        <v>15</v>
      </c>
      <c r="F19" t="s">
        <v>43</v>
      </c>
      <c r="G19">
        <v>4</v>
      </c>
      <c r="H19" t="s">
        <v>23</v>
      </c>
      <c r="I19">
        <v>9200</v>
      </c>
      <c r="J19">
        <v>0.1</v>
      </c>
      <c r="K19">
        <v>33120</v>
      </c>
      <c r="L19" s="2">
        <v>45658</v>
      </c>
    </row>
    <row r="20" spans="1:12" x14ac:dyDescent="0.25">
      <c r="A20" t="s">
        <v>53</v>
      </c>
      <c r="B20" s="1">
        <v>45681</v>
      </c>
      <c r="C20" t="s">
        <v>25</v>
      </c>
      <c r="D20" t="s">
        <v>14</v>
      </c>
      <c r="E20" t="s">
        <v>15</v>
      </c>
      <c r="F20" t="s">
        <v>30</v>
      </c>
      <c r="G20">
        <v>6</v>
      </c>
      <c r="H20" t="s">
        <v>27</v>
      </c>
      <c r="I20">
        <v>2800</v>
      </c>
      <c r="J20">
        <v>0.05</v>
      </c>
      <c r="K20">
        <v>15960</v>
      </c>
      <c r="L20" s="2">
        <v>45658</v>
      </c>
    </row>
    <row r="21" spans="1:12" x14ac:dyDescent="0.25">
      <c r="A21" t="s">
        <v>54</v>
      </c>
      <c r="B21" s="1">
        <v>45682</v>
      </c>
      <c r="C21" t="s">
        <v>19</v>
      </c>
      <c r="D21" t="s">
        <v>20</v>
      </c>
      <c r="E21" t="s">
        <v>15</v>
      </c>
      <c r="F21" t="s">
        <v>33</v>
      </c>
      <c r="G21">
        <v>5</v>
      </c>
      <c r="H21" t="s">
        <v>23</v>
      </c>
      <c r="I21">
        <v>12500</v>
      </c>
      <c r="J21">
        <v>0.1</v>
      </c>
      <c r="K21">
        <v>56250</v>
      </c>
      <c r="L21" s="2">
        <v>45658</v>
      </c>
    </row>
    <row r="22" spans="1:12" x14ac:dyDescent="0.25">
      <c r="A22" t="s">
        <v>55</v>
      </c>
      <c r="B22" s="1">
        <v>45684</v>
      </c>
      <c r="C22" t="s">
        <v>19</v>
      </c>
      <c r="D22" t="s">
        <v>20</v>
      </c>
      <c r="E22" t="s">
        <v>15</v>
      </c>
      <c r="F22" t="s">
        <v>26</v>
      </c>
      <c r="G22">
        <v>6</v>
      </c>
      <c r="H22" t="s">
        <v>23</v>
      </c>
      <c r="I22">
        <v>12500</v>
      </c>
      <c r="J22">
        <v>0</v>
      </c>
      <c r="K22">
        <v>75000</v>
      </c>
      <c r="L22" s="2">
        <v>45658</v>
      </c>
    </row>
    <row r="23" spans="1:12" x14ac:dyDescent="0.25">
      <c r="A23" t="s">
        <v>56</v>
      </c>
      <c r="B23" s="1">
        <v>45684</v>
      </c>
      <c r="C23" t="s">
        <v>42</v>
      </c>
      <c r="D23" t="s">
        <v>47</v>
      </c>
      <c r="E23" t="s">
        <v>15</v>
      </c>
      <c r="F23" t="s">
        <v>22</v>
      </c>
      <c r="G23">
        <v>4</v>
      </c>
      <c r="H23" t="s">
        <v>17</v>
      </c>
      <c r="I23">
        <v>14500</v>
      </c>
      <c r="J23">
        <v>0.05</v>
      </c>
      <c r="K23">
        <v>55100</v>
      </c>
      <c r="L23" s="2">
        <v>45658</v>
      </c>
    </row>
    <row r="24" spans="1:12" x14ac:dyDescent="0.25">
      <c r="A24" t="s">
        <v>57</v>
      </c>
      <c r="B24" s="1">
        <v>45687</v>
      </c>
      <c r="C24" t="s">
        <v>38</v>
      </c>
      <c r="D24" t="s">
        <v>14</v>
      </c>
      <c r="E24" t="s">
        <v>21</v>
      </c>
      <c r="F24" t="s">
        <v>16</v>
      </c>
      <c r="G24">
        <v>2</v>
      </c>
      <c r="H24" t="s">
        <v>17</v>
      </c>
      <c r="I24">
        <v>58000</v>
      </c>
      <c r="J24">
        <v>0.1</v>
      </c>
      <c r="K24">
        <v>104400</v>
      </c>
      <c r="L24" s="2">
        <v>45658</v>
      </c>
    </row>
    <row r="25" spans="1:12" x14ac:dyDescent="0.25">
      <c r="A25" t="s">
        <v>58</v>
      </c>
      <c r="B25" s="1">
        <v>45688</v>
      </c>
      <c r="C25" t="s">
        <v>46</v>
      </c>
      <c r="D25" t="s">
        <v>29</v>
      </c>
      <c r="E25" t="s">
        <v>15</v>
      </c>
      <c r="F25" t="s">
        <v>22</v>
      </c>
      <c r="G25">
        <v>2</v>
      </c>
      <c r="H25" t="s">
        <v>27</v>
      </c>
      <c r="I25">
        <v>850</v>
      </c>
      <c r="J25">
        <v>0.15</v>
      </c>
      <c r="K25">
        <v>1445</v>
      </c>
      <c r="L25" s="2">
        <v>45658</v>
      </c>
    </row>
    <row r="26" spans="1:12" x14ac:dyDescent="0.25">
      <c r="A26" t="s">
        <v>59</v>
      </c>
      <c r="B26" s="1">
        <v>45688</v>
      </c>
      <c r="C26" t="s">
        <v>25</v>
      </c>
      <c r="D26" t="s">
        <v>20</v>
      </c>
      <c r="E26" t="s">
        <v>15</v>
      </c>
      <c r="F26" t="s">
        <v>43</v>
      </c>
      <c r="G26">
        <v>2</v>
      </c>
      <c r="H26" t="s">
        <v>27</v>
      </c>
      <c r="I26">
        <v>2800</v>
      </c>
      <c r="J26">
        <v>0.1</v>
      </c>
      <c r="K26">
        <v>5040</v>
      </c>
      <c r="L26" s="2">
        <v>45658</v>
      </c>
    </row>
    <row r="27" spans="1:12" x14ac:dyDescent="0.25">
      <c r="A27" t="s">
        <v>60</v>
      </c>
      <c r="B27" s="1">
        <v>45689</v>
      </c>
      <c r="C27" t="s">
        <v>36</v>
      </c>
      <c r="D27" t="s">
        <v>14</v>
      </c>
      <c r="E27" t="s">
        <v>15</v>
      </c>
      <c r="F27" t="s">
        <v>43</v>
      </c>
      <c r="G27">
        <v>6</v>
      </c>
      <c r="H27" t="s">
        <v>23</v>
      </c>
      <c r="I27">
        <v>9200</v>
      </c>
      <c r="J27">
        <v>0.1</v>
      </c>
      <c r="K27">
        <v>49680</v>
      </c>
      <c r="L27" s="2">
        <v>45689</v>
      </c>
    </row>
    <row r="28" spans="1:12" x14ac:dyDescent="0.25">
      <c r="A28" t="s">
        <v>61</v>
      </c>
      <c r="B28" s="1">
        <v>45689</v>
      </c>
      <c r="C28" t="s">
        <v>32</v>
      </c>
      <c r="D28" t="s">
        <v>14</v>
      </c>
      <c r="E28" t="s">
        <v>15</v>
      </c>
      <c r="F28" t="s">
        <v>26</v>
      </c>
      <c r="G28">
        <v>2</v>
      </c>
      <c r="H28" t="s">
        <v>27</v>
      </c>
      <c r="I28">
        <v>1900</v>
      </c>
      <c r="J28">
        <v>0.15</v>
      </c>
      <c r="K28">
        <v>3230</v>
      </c>
      <c r="L28" s="2">
        <v>45689</v>
      </c>
    </row>
    <row r="29" spans="1:12" x14ac:dyDescent="0.25">
      <c r="A29" t="s">
        <v>62</v>
      </c>
      <c r="B29" s="1">
        <v>45690</v>
      </c>
      <c r="C29" t="s">
        <v>46</v>
      </c>
      <c r="D29" t="s">
        <v>20</v>
      </c>
      <c r="E29" t="s">
        <v>21</v>
      </c>
      <c r="F29" t="s">
        <v>43</v>
      </c>
      <c r="G29">
        <v>1</v>
      </c>
      <c r="H29" t="s">
        <v>27</v>
      </c>
      <c r="I29">
        <v>850</v>
      </c>
      <c r="J29">
        <v>0</v>
      </c>
      <c r="K29">
        <v>850</v>
      </c>
      <c r="L29" s="2">
        <v>45689</v>
      </c>
    </row>
    <row r="30" spans="1:12" x14ac:dyDescent="0.25">
      <c r="A30" t="s">
        <v>63</v>
      </c>
      <c r="B30" s="1">
        <v>45690</v>
      </c>
      <c r="C30" t="s">
        <v>46</v>
      </c>
      <c r="D30" t="s">
        <v>29</v>
      </c>
      <c r="E30" t="s">
        <v>21</v>
      </c>
      <c r="F30" t="s">
        <v>43</v>
      </c>
      <c r="G30">
        <v>1</v>
      </c>
      <c r="H30" t="s">
        <v>27</v>
      </c>
      <c r="I30">
        <v>850</v>
      </c>
      <c r="J30">
        <v>0</v>
      </c>
      <c r="K30">
        <v>850</v>
      </c>
      <c r="L30" s="2">
        <v>45689</v>
      </c>
    </row>
    <row r="31" spans="1:12" x14ac:dyDescent="0.25">
      <c r="A31" t="s">
        <v>64</v>
      </c>
      <c r="B31" s="1">
        <v>45690</v>
      </c>
      <c r="C31" t="s">
        <v>42</v>
      </c>
      <c r="D31" t="s">
        <v>47</v>
      </c>
      <c r="E31" t="s">
        <v>21</v>
      </c>
      <c r="F31" t="s">
        <v>22</v>
      </c>
      <c r="G31">
        <v>6</v>
      </c>
      <c r="H31" t="s">
        <v>17</v>
      </c>
      <c r="I31">
        <v>14500</v>
      </c>
      <c r="J31">
        <v>0</v>
      </c>
      <c r="K31">
        <v>87000</v>
      </c>
      <c r="L31" s="2">
        <v>45689</v>
      </c>
    </row>
    <row r="32" spans="1:12" x14ac:dyDescent="0.25">
      <c r="A32" t="s">
        <v>65</v>
      </c>
      <c r="B32" s="1">
        <v>45694</v>
      </c>
      <c r="C32" t="s">
        <v>46</v>
      </c>
      <c r="D32" t="s">
        <v>20</v>
      </c>
      <c r="E32" t="s">
        <v>21</v>
      </c>
      <c r="F32" t="s">
        <v>30</v>
      </c>
      <c r="G32">
        <v>6</v>
      </c>
      <c r="H32" t="s">
        <v>27</v>
      </c>
      <c r="I32">
        <v>850</v>
      </c>
      <c r="J32">
        <v>0</v>
      </c>
      <c r="K32">
        <v>5100</v>
      </c>
      <c r="L32" s="2">
        <v>45689</v>
      </c>
    </row>
    <row r="33" spans="1:12" x14ac:dyDescent="0.25">
      <c r="A33" t="s">
        <v>66</v>
      </c>
      <c r="B33" s="1">
        <v>45695</v>
      </c>
      <c r="C33" t="s">
        <v>42</v>
      </c>
      <c r="D33" t="s">
        <v>47</v>
      </c>
      <c r="E33" t="s">
        <v>21</v>
      </c>
      <c r="F33" t="s">
        <v>30</v>
      </c>
      <c r="G33">
        <v>4</v>
      </c>
      <c r="H33" t="s">
        <v>17</v>
      </c>
      <c r="I33">
        <v>14500</v>
      </c>
      <c r="J33">
        <v>0.05</v>
      </c>
      <c r="K33">
        <v>55100</v>
      </c>
      <c r="L33" s="2">
        <v>45689</v>
      </c>
    </row>
    <row r="34" spans="1:12" x14ac:dyDescent="0.25">
      <c r="A34" t="s">
        <v>67</v>
      </c>
      <c r="B34" s="1">
        <v>45696</v>
      </c>
      <c r="C34" t="s">
        <v>25</v>
      </c>
      <c r="D34" t="s">
        <v>14</v>
      </c>
      <c r="E34" t="s">
        <v>15</v>
      </c>
      <c r="F34" t="s">
        <v>30</v>
      </c>
      <c r="G34">
        <v>3</v>
      </c>
      <c r="H34" t="s">
        <v>27</v>
      </c>
      <c r="I34">
        <v>2800</v>
      </c>
      <c r="J34">
        <v>0.05</v>
      </c>
      <c r="K34">
        <v>7980</v>
      </c>
      <c r="L34" s="2">
        <v>45689</v>
      </c>
    </row>
    <row r="35" spans="1:12" x14ac:dyDescent="0.25">
      <c r="A35" t="s">
        <v>68</v>
      </c>
      <c r="B35" s="1">
        <v>45697</v>
      </c>
      <c r="C35" t="s">
        <v>25</v>
      </c>
      <c r="D35" t="s">
        <v>47</v>
      </c>
      <c r="E35" t="s">
        <v>15</v>
      </c>
      <c r="F35" t="s">
        <v>26</v>
      </c>
      <c r="G35">
        <v>4</v>
      </c>
      <c r="H35" t="s">
        <v>27</v>
      </c>
      <c r="I35">
        <v>2800</v>
      </c>
      <c r="J35">
        <v>0.05</v>
      </c>
      <c r="K35">
        <v>10640</v>
      </c>
      <c r="L35" s="2">
        <v>45689</v>
      </c>
    </row>
    <row r="36" spans="1:12" x14ac:dyDescent="0.25">
      <c r="A36" t="s">
        <v>69</v>
      </c>
      <c r="B36" s="1">
        <v>45698</v>
      </c>
      <c r="C36" t="s">
        <v>36</v>
      </c>
      <c r="D36" t="s">
        <v>29</v>
      </c>
      <c r="E36" t="s">
        <v>15</v>
      </c>
      <c r="F36" t="s">
        <v>33</v>
      </c>
      <c r="G36">
        <v>2</v>
      </c>
      <c r="H36" t="s">
        <v>23</v>
      </c>
      <c r="I36">
        <v>9200</v>
      </c>
      <c r="J36">
        <v>0.1</v>
      </c>
      <c r="K36">
        <v>16560</v>
      </c>
      <c r="L36" s="2">
        <v>45689</v>
      </c>
    </row>
    <row r="37" spans="1:12" x14ac:dyDescent="0.25">
      <c r="A37" t="s">
        <v>70</v>
      </c>
      <c r="B37" s="1">
        <v>45699</v>
      </c>
      <c r="C37" t="s">
        <v>38</v>
      </c>
      <c r="D37" t="s">
        <v>29</v>
      </c>
      <c r="E37" t="s">
        <v>15</v>
      </c>
      <c r="F37" t="s">
        <v>16</v>
      </c>
      <c r="G37">
        <v>1</v>
      </c>
      <c r="H37" t="s">
        <v>17</v>
      </c>
      <c r="I37">
        <v>58000</v>
      </c>
      <c r="J37">
        <v>0.1</v>
      </c>
      <c r="K37">
        <v>52200</v>
      </c>
      <c r="L37" s="2">
        <v>45689</v>
      </c>
    </row>
    <row r="38" spans="1:12" x14ac:dyDescent="0.25">
      <c r="A38" t="s">
        <v>71</v>
      </c>
      <c r="B38" s="1">
        <v>45701</v>
      </c>
      <c r="C38" t="s">
        <v>46</v>
      </c>
      <c r="D38" t="s">
        <v>20</v>
      </c>
      <c r="E38" t="s">
        <v>15</v>
      </c>
      <c r="F38" t="s">
        <v>33</v>
      </c>
      <c r="G38">
        <v>2</v>
      </c>
      <c r="H38" t="s">
        <v>27</v>
      </c>
      <c r="I38">
        <v>850</v>
      </c>
      <c r="J38">
        <v>0.1</v>
      </c>
      <c r="K38">
        <v>1530</v>
      </c>
      <c r="L38" s="2">
        <v>45689</v>
      </c>
    </row>
    <row r="39" spans="1:12" x14ac:dyDescent="0.25">
      <c r="A39" t="s">
        <v>72</v>
      </c>
      <c r="B39" s="1">
        <v>45701</v>
      </c>
      <c r="C39" t="s">
        <v>42</v>
      </c>
      <c r="D39" t="s">
        <v>29</v>
      </c>
      <c r="E39" t="s">
        <v>15</v>
      </c>
      <c r="F39" t="s">
        <v>22</v>
      </c>
      <c r="G39">
        <v>5</v>
      </c>
      <c r="H39" t="s">
        <v>17</v>
      </c>
      <c r="I39">
        <v>14500</v>
      </c>
      <c r="J39">
        <v>0.05</v>
      </c>
      <c r="K39">
        <v>68875</v>
      </c>
      <c r="L39" s="2">
        <v>45689</v>
      </c>
    </row>
    <row r="40" spans="1:12" x14ac:dyDescent="0.25">
      <c r="A40" t="s">
        <v>73</v>
      </c>
      <c r="B40" s="1">
        <v>45702</v>
      </c>
      <c r="C40" t="s">
        <v>38</v>
      </c>
      <c r="D40" t="s">
        <v>47</v>
      </c>
      <c r="E40" t="s">
        <v>15</v>
      </c>
      <c r="F40" t="s">
        <v>22</v>
      </c>
      <c r="G40">
        <v>5</v>
      </c>
      <c r="H40" t="s">
        <v>17</v>
      </c>
      <c r="I40">
        <v>58000</v>
      </c>
      <c r="J40">
        <v>0.1</v>
      </c>
      <c r="K40">
        <v>261000</v>
      </c>
      <c r="L40" s="2">
        <v>45689</v>
      </c>
    </row>
    <row r="41" spans="1:12" x14ac:dyDescent="0.25">
      <c r="A41" t="s">
        <v>74</v>
      </c>
      <c r="B41" s="1">
        <v>45705</v>
      </c>
      <c r="C41" t="s">
        <v>13</v>
      </c>
      <c r="D41" t="s">
        <v>20</v>
      </c>
      <c r="E41" t="s">
        <v>21</v>
      </c>
      <c r="F41" t="s">
        <v>30</v>
      </c>
      <c r="G41">
        <v>1</v>
      </c>
      <c r="H41" t="s">
        <v>17</v>
      </c>
      <c r="I41">
        <v>26000</v>
      </c>
      <c r="J41">
        <v>0.05</v>
      </c>
      <c r="K41">
        <v>24700</v>
      </c>
      <c r="L41" s="2">
        <v>45689</v>
      </c>
    </row>
    <row r="42" spans="1:12" x14ac:dyDescent="0.25">
      <c r="A42" t="s">
        <v>75</v>
      </c>
      <c r="B42" s="1">
        <v>45707</v>
      </c>
      <c r="C42" t="s">
        <v>25</v>
      </c>
      <c r="D42" t="s">
        <v>47</v>
      </c>
      <c r="E42" t="s">
        <v>15</v>
      </c>
      <c r="F42" t="s">
        <v>16</v>
      </c>
      <c r="G42">
        <v>6</v>
      </c>
      <c r="H42" t="s">
        <v>27</v>
      </c>
      <c r="I42">
        <v>2800</v>
      </c>
      <c r="J42">
        <v>0.1</v>
      </c>
      <c r="K42">
        <v>15120</v>
      </c>
      <c r="L42" s="2">
        <v>45689</v>
      </c>
    </row>
    <row r="43" spans="1:12" x14ac:dyDescent="0.25">
      <c r="A43" t="s">
        <v>76</v>
      </c>
      <c r="B43" s="1">
        <v>45707</v>
      </c>
      <c r="C43" t="s">
        <v>32</v>
      </c>
      <c r="D43" t="s">
        <v>20</v>
      </c>
      <c r="E43" t="s">
        <v>15</v>
      </c>
      <c r="F43" t="s">
        <v>22</v>
      </c>
      <c r="G43">
        <v>4</v>
      </c>
      <c r="H43" t="s">
        <v>27</v>
      </c>
      <c r="I43">
        <v>1900</v>
      </c>
      <c r="J43">
        <v>0</v>
      </c>
      <c r="K43">
        <v>7600</v>
      </c>
      <c r="L43" s="2">
        <v>45689</v>
      </c>
    </row>
    <row r="44" spans="1:12" x14ac:dyDescent="0.25">
      <c r="A44" t="s">
        <v>77</v>
      </c>
      <c r="B44" s="1">
        <v>45707</v>
      </c>
      <c r="C44" t="s">
        <v>13</v>
      </c>
      <c r="D44" t="s">
        <v>14</v>
      </c>
      <c r="E44" t="s">
        <v>15</v>
      </c>
      <c r="F44" t="s">
        <v>33</v>
      </c>
      <c r="G44">
        <v>3</v>
      </c>
      <c r="H44" t="s">
        <v>17</v>
      </c>
      <c r="I44">
        <v>26000</v>
      </c>
      <c r="J44">
        <v>0.1</v>
      </c>
      <c r="K44">
        <v>70200</v>
      </c>
      <c r="L44" s="2">
        <v>45689</v>
      </c>
    </row>
    <row r="45" spans="1:12" x14ac:dyDescent="0.25">
      <c r="A45" t="s">
        <v>78</v>
      </c>
      <c r="B45" s="1">
        <v>45707</v>
      </c>
      <c r="C45" t="s">
        <v>38</v>
      </c>
      <c r="D45" t="s">
        <v>47</v>
      </c>
      <c r="E45" t="s">
        <v>15</v>
      </c>
      <c r="F45" t="s">
        <v>33</v>
      </c>
      <c r="G45">
        <v>2</v>
      </c>
      <c r="H45" t="s">
        <v>17</v>
      </c>
      <c r="I45">
        <v>58000</v>
      </c>
      <c r="J45">
        <v>0.05</v>
      </c>
      <c r="K45">
        <v>110200</v>
      </c>
      <c r="L45" s="2">
        <v>45689</v>
      </c>
    </row>
    <row r="46" spans="1:12" x14ac:dyDescent="0.25">
      <c r="A46" t="s">
        <v>79</v>
      </c>
      <c r="B46" s="1">
        <v>45708</v>
      </c>
      <c r="C46" t="s">
        <v>38</v>
      </c>
      <c r="D46" t="s">
        <v>14</v>
      </c>
      <c r="E46" t="s">
        <v>21</v>
      </c>
      <c r="F46" t="s">
        <v>43</v>
      </c>
      <c r="G46">
        <v>4</v>
      </c>
      <c r="H46" t="s">
        <v>17</v>
      </c>
      <c r="I46">
        <v>58000</v>
      </c>
      <c r="J46">
        <v>0.1</v>
      </c>
      <c r="K46">
        <v>208800</v>
      </c>
      <c r="L46" s="2">
        <v>45689</v>
      </c>
    </row>
    <row r="47" spans="1:12" x14ac:dyDescent="0.25">
      <c r="A47" t="s">
        <v>80</v>
      </c>
      <c r="B47" s="1">
        <v>45709</v>
      </c>
      <c r="C47" t="s">
        <v>46</v>
      </c>
      <c r="D47" t="s">
        <v>29</v>
      </c>
      <c r="E47" t="s">
        <v>15</v>
      </c>
      <c r="F47" t="s">
        <v>43</v>
      </c>
      <c r="G47">
        <v>1</v>
      </c>
      <c r="H47" t="s">
        <v>27</v>
      </c>
      <c r="I47">
        <v>850</v>
      </c>
      <c r="J47">
        <v>0.1</v>
      </c>
      <c r="K47">
        <v>765</v>
      </c>
      <c r="L47" s="2">
        <v>45689</v>
      </c>
    </row>
    <row r="48" spans="1:12" x14ac:dyDescent="0.25">
      <c r="A48" t="s">
        <v>81</v>
      </c>
      <c r="B48" s="1">
        <v>45713</v>
      </c>
      <c r="C48" t="s">
        <v>46</v>
      </c>
      <c r="D48" t="s">
        <v>20</v>
      </c>
      <c r="E48" t="s">
        <v>15</v>
      </c>
      <c r="F48" t="s">
        <v>43</v>
      </c>
      <c r="G48">
        <v>4</v>
      </c>
      <c r="H48" t="s">
        <v>27</v>
      </c>
      <c r="I48">
        <v>850</v>
      </c>
      <c r="J48">
        <v>0.05</v>
      </c>
      <c r="K48">
        <v>3230</v>
      </c>
      <c r="L48" s="2">
        <v>45689</v>
      </c>
    </row>
    <row r="49" spans="1:12" x14ac:dyDescent="0.25">
      <c r="A49" t="s">
        <v>82</v>
      </c>
      <c r="B49" s="1">
        <v>45715</v>
      </c>
      <c r="C49" t="s">
        <v>36</v>
      </c>
      <c r="D49" t="s">
        <v>14</v>
      </c>
      <c r="E49" t="s">
        <v>15</v>
      </c>
      <c r="F49" t="s">
        <v>16</v>
      </c>
      <c r="G49">
        <v>3</v>
      </c>
      <c r="H49" t="s">
        <v>23</v>
      </c>
      <c r="I49">
        <v>9200</v>
      </c>
      <c r="J49">
        <v>0.1</v>
      </c>
      <c r="K49">
        <v>24840</v>
      </c>
      <c r="L49" s="2">
        <v>45689</v>
      </c>
    </row>
    <row r="50" spans="1:12" x14ac:dyDescent="0.25">
      <c r="A50" t="s">
        <v>83</v>
      </c>
      <c r="B50" s="1">
        <v>45718</v>
      </c>
      <c r="C50" t="s">
        <v>25</v>
      </c>
      <c r="D50" t="s">
        <v>47</v>
      </c>
      <c r="E50" t="s">
        <v>21</v>
      </c>
      <c r="F50" t="s">
        <v>26</v>
      </c>
      <c r="G50">
        <v>5</v>
      </c>
      <c r="H50" t="s">
        <v>27</v>
      </c>
      <c r="I50">
        <v>2800</v>
      </c>
      <c r="J50">
        <v>0</v>
      </c>
      <c r="K50">
        <v>14000</v>
      </c>
      <c r="L50" s="2">
        <v>45717</v>
      </c>
    </row>
    <row r="51" spans="1:12" x14ac:dyDescent="0.25">
      <c r="A51" t="s">
        <v>84</v>
      </c>
      <c r="B51" s="1">
        <v>45721</v>
      </c>
      <c r="C51" t="s">
        <v>46</v>
      </c>
      <c r="D51" t="s">
        <v>47</v>
      </c>
      <c r="E51" t="s">
        <v>21</v>
      </c>
      <c r="F51" t="s">
        <v>16</v>
      </c>
      <c r="G51">
        <v>2</v>
      </c>
      <c r="H51" t="s">
        <v>27</v>
      </c>
      <c r="I51">
        <v>850</v>
      </c>
      <c r="J51">
        <v>0.1</v>
      </c>
      <c r="K51">
        <v>1530</v>
      </c>
      <c r="L51" s="2">
        <v>45717</v>
      </c>
    </row>
    <row r="52" spans="1:12" x14ac:dyDescent="0.25">
      <c r="A52" t="s">
        <v>85</v>
      </c>
      <c r="B52" s="1">
        <v>45721</v>
      </c>
      <c r="C52" t="s">
        <v>46</v>
      </c>
      <c r="D52" t="s">
        <v>47</v>
      </c>
      <c r="E52" t="s">
        <v>21</v>
      </c>
      <c r="F52" t="s">
        <v>43</v>
      </c>
      <c r="G52">
        <v>6</v>
      </c>
      <c r="H52" t="s">
        <v>27</v>
      </c>
      <c r="I52">
        <v>850</v>
      </c>
      <c r="J52">
        <v>0.05</v>
      </c>
      <c r="K52">
        <v>4845</v>
      </c>
      <c r="L52" s="2">
        <v>45717</v>
      </c>
    </row>
    <row r="53" spans="1:12" x14ac:dyDescent="0.25">
      <c r="A53" t="s">
        <v>86</v>
      </c>
      <c r="B53" s="1">
        <v>45723</v>
      </c>
      <c r="C53" t="s">
        <v>38</v>
      </c>
      <c r="D53" t="s">
        <v>29</v>
      </c>
      <c r="E53" t="s">
        <v>15</v>
      </c>
      <c r="F53" t="s">
        <v>43</v>
      </c>
      <c r="G53">
        <v>4</v>
      </c>
      <c r="H53" t="s">
        <v>17</v>
      </c>
      <c r="I53">
        <v>58000</v>
      </c>
      <c r="J53">
        <v>0.05</v>
      </c>
      <c r="K53">
        <v>220400</v>
      </c>
      <c r="L53" s="2">
        <v>45717</v>
      </c>
    </row>
    <row r="54" spans="1:12" x14ac:dyDescent="0.25">
      <c r="A54" t="s">
        <v>87</v>
      </c>
      <c r="B54" s="1">
        <v>45723</v>
      </c>
      <c r="C54" t="s">
        <v>42</v>
      </c>
      <c r="D54" t="s">
        <v>47</v>
      </c>
      <c r="E54" t="s">
        <v>21</v>
      </c>
      <c r="F54" t="s">
        <v>33</v>
      </c>
      <c r="G54">
        <v>6</v>
      </c>
      <c r="H54" t="s">
        <v>17</v>
      </c>
      <c r="I54">
        <v>14500</v>
      </c>
      <c r="J54">
        <v>0.05</v>
      </c>
      <c r="K54">
        <v>82650</v>
      </c>
      <c r="L54" s="2">
        <v>45717</v>
      </c>
    </row>
    <row r="55" spans="1:12" x14ac:dyDescent="0.25">
      <c r="A55" t="s">
        <v>88</v>
      </c>
      <c r="B55" s="1">
        <v>45725</v>
      </c>
      <c r="C55" t="s">
        <v>38</v>
      </c>
      <c r="D55" t="s">
        <v>47</v>
      </c>
      <c r="E55" t="s">
        <v>15</v>
      </c>
      <c r="F55" t="s">
        <v>43</v>
      </c>
      <c r="G55">
        <v>6</v>
      </c>
      <c r="H55" t="s">
        <v>17</v>
      </c>
      <c r="I55">
        <v>58000</v>
      </c>
      <c r="J55">
        <v>0.05</v>
      </c>
      <c r="K55">
        <v>330600</v>
      </c>
      <c r="L55" s="2">
        <v>45717</v>
      </c>
    </row>
    <row r="56" spans="1:12" x14ac:dyDescent="0.25">
      <c r="A56" t="s">
        <v>89</v>
      </c>
      <c r="B56" s="1">
        <v>45730</v>
      </c>
      <c r="C56" t="s">
        <v>38</v>
      </c>
      <c r="D56" t="s">
        <v>47</v>
      </c>
      <c r="E56" t="s">
        <v>15</v>
      </c>
      <c r="F56" t="s">
        <v>43</v>
      </c>
      <c r="G56">
        <v>2</v>
      </c>
      <c r="H56" t="s">
        <v>17</v>
      </c>
      <c r="I56">
        <v>58000</v>
      </c>
      <c r="J56">
        <v>0</v>
      </c>
      <c r="K56">
        <v>116000</v>
      </c>
      <c r="L56" s="2">
        <v>45717</v>
      </c>
    </row>
    <row r="57" spans="1:12" x14ac:dyDescent="0.25">
      <c r="A57" t="s">
        <v>90</v>
      </c>
      <c r="B57" s="1">
        <v>45731</v>
      </c>
      <c r="C57" t="s">
        <v>42</v>
      </c>
      <c r="D57" t="s">
        <v>20</v>
      </c>
      <c r="E57" t="s">
        <v>15</v>
      </c>
      <c r="F57" t="s">
        <v>22</v>
      </c>
      <c r="G57">
        <v>4</v>
      </c>
      <c r="H57" t="s">
        <v>17</v>
      </c>
      <c r="I57">
        <v>14500</v>
      </c>
      <c r="J57">
        <v>0.1</v>
      </c>
      <c r="K57">
        <v>52200</v>
      </c>
      <c r="L57" s="2">
        <v>45717</v>
      </c>
    </row>
    <row r="58" spans="1:12" x14ac:dyDescent="0.25">
      <c r="A58" t="s">
        <v>91</v>
      </c>
      <c r="B58" s="1">
        <v>45732</v>
      </c>
      <c r="C58" t="s">
        <v>13</v>
      </c>
      <c r="D58" t="s">
        <v>14</v>
      </c>
      <c r="E58" t="s">
        <v>21</v>
      </c>
      <c r="F58" t="s">
        <v>43</v>
      </c>
      <c r="G58">
        <v>1</v>
      </c>
      <c r="H58" t="s">
        <v>17</v>
      </c>
      <c r="I58">
        <v>26000</v>
      </c>
      <c r="J58">
        <v>0.15</v>
      </c>
      <c r="K58">
        <v>22100</v>
      </c>
      <c r="L58" s="2">
        <v>45717</v>
      </c>
    </row>
    <row r="59" spans="1:12" x14ac:dyDescent="0.25">
      <c r="A59" t="s">
        <v>92</v>
      </c>
      <c r="B59" s="1">
        <v>45732</v>
      </c>
      <c r="C59" t="s">
        <v>38</v>
      </c>
      <c r="D59" t="s">
        <v>14</v>
      </c>
      <c r="E59" t="s">
        <v>15</v>
      </c>
      <c r="F59" t="s">
        <v>26</v>
      </c>
      <c r="G59">
        <v>3</v>
      </c>
      <c r="H59" t="s">
        <v>17</v>
      </c>
      <c r="I59">
        <v>58000</v>
      </c>
      <c r="J59">
        <v>0</v>
      </c>
      <c r="K59">
        <v>174000</v>
      </c>
      <c r="L59" s="2">
        <v>45717</v>
      </c>
    </row>
    <row r="60" spans="1:12" x14ac:dyDescent="0.25">
      <c r="A60" t="s">
        <v>93</v>
      </c>
      <c r="B60" s="1">
        <v>45733</v>
      </c>
      <c r="C60" t="s">
        <v>36</v>
      </c>
      <c r="D60" t="s">
        <v>29</v>
      </c>
      <c r="E60" t="s">
        <v>21</v>
      </c>
      <c r="F60" t="s">
        <v>16</v>
      </c>
      <c r="G60">
        <v>3</v>
      </c>
      <c r="H60" t="s">
        <v>23</v>
      </c>
      <c r="I60">
        <v>9200</v>
      </c>
      <c r="J60">
        <v>0.1</v>
      </c>
      <c r="K60">
        <v>24840</v>
      </c>
      <c r="L60" s="2">
        <v>45717</v>
      </c>
    </row>
    <row r="61" spans="1:12" x14ac:dyDescent="0.25">
      <c r="A61" t="s">
        <v>94</v>
      </c>
      <c r="B61" s="1">
        <v>45735</v>
      </c>
      <c r="C61" t="s">
        <v>46</v>
      </c>
      <c r="D61" t="s">
        <v>14</v>
      </c>
      <c r="E61" t="s">
        <v>15</v>
      </c>
      <c r="F61" t="s">
        <v>43</v>
      </c>
      <c r="G61">
        <v>3</v>
      </c>
      <c r="H61" t="s">
        <v>27</v>
      </c>
      <c r="I61">
        <v>850</v>
      </c>
      <c r="J61">
        <v>0.05</v>
      </c>
      <c r="K61">
        <v>2422.5</v>
      </c>
      <c r="L61" s="2">
        <v>45717</v>
      </c>
    </row>
    <row r="62" spans="1:12" x14ac:dyDescent="0.25">
      <c r="A62" t="s">
        <v>95</v>
      </c>
      <c r="B62" s="1">
        <v>45737</v>
      </c>
      <c r="C62" t="s">
        <v>19</v>
      </c>
      <c r="D62" t="s">
        <v>47</v>
      </c>
      <c r="E62" t="s">
        <v>15</v>
      </c>
      <c r="F62" t="s">
        <v>33</v>
      </c>
      <c r="G62">
        <v>1</v>
      </c>
      <c r="H62" t="s">
        <v>23</v>
      </c>
      <c r="I62">
        <v>12500</v>
      </c>
      <c r="J62">
        <v>0.05</v>
      </c>
      <c r="K62">
        <v>11875</v>
      </c>
      <c r="L62" s="2">
        <v>45717</v>
      </c>
    </row>
    <row r="63" spans="1:12" x14ac:dyDescent="0.25">
      <c r="A63" t="s">
        <v>96</v>
      </c>
      <c r="B63" s="1">
        <v>45740</v>
      </c>
      <c r="C63" t="s">
        <v>42</v>
      </c>
      <c r="D63" t="s">
        <v>20</v>
      </c>
      <c r="E63" t="s">
        <v>15</v>
      </c>
      <c r="F63" t="s">
        <v>30</v>
      </c>
      <c r="G63">
        <v>2</v>
      </c>
      <c r="H63" t="s">
        <v>17</v>
      </c>
      <c r="I63">
        <v>14500</v>
      </c>
      <c r="J63">
        <v>0.05</v>
      </c>
      <c r="K63">
        <v>27550</v>
      </c>
      <c r="L63" s="2">
        <v>45717</v>
      </c>
    </row>
    <row r="64" spans="1:12" x14ac:dyDescent="0.25">
      <c r="A64" t="s">
        <v>97</v>
      </c>
      <c r="B64" s="1">
        <v>45741</v>
      </c>
      <c r="C64" t="s">
        <v>42</v>
      </c>
      <c r="D64" t="s">
        <v>47</v>
      </c>
      <c r="E64" t="s">
        <v>15</v>
      </c>
      <c r="F64" t="s">
        <v>16</v>
      </c>
      <c r="G64">
        <v>1</v>
      </c>
      <c r="H64" t="s">
        <v>17</v>
      </c>
      <c r="I64">
        <v>14500</v>
      </c>
      <c r="J64">
        <v>0.05</v>
      </c>
      <c r="K64">
        <v>13775</v>
      </c>
      <c r="L64" s="2">
        <v>45717</v>
      </c>
    </row>
    <row r="65" spans="1:12" x14ac:dyDescent="0.25">
      <c r="A65" t="s">
        <v>98</v>
      </c>
      <c r="B65" s="1">
        <v>45741</v>
      </c>
      <c r="C65" t="s">
        <v>36</v>
      </c>
      <c r="D65" t="s">
        <v>20</v>
      </c>
      <c r="E65" t="s">
        <v>15</v>
      </c>
      <c r="F65" t="s">
        <v>16</v>
      </c>
      <c r="G65">
        <v>4</v>
      </c>
      <c r="H65" t="s">
        <v>23</v>
      </c>
      <c r="I65">
        <v>9200</v>
      </c>
      <c r="J65">
        <v>0.05</v>
      </c>
      <c r="K65">
        <v>34960</v>
      </c>
      <c r="L65" s="2">
        <v>45717</v>
      </c>
    </row>
    <row r="66" spans="1:12" x14ac:dyDescent="0.25">
      <c r="A66" t="s">
        <v>99</v>
      </c>
      <c r="B66" s="1">
        <v>45742</v>
      </c>
      <c r="C66" t="s">
        <v>46</v>
      </c>
      <c r="D66" t="s">
        <v>47</v>
      </c>
      <c r="E66" t="s">
        <v>15</v>
      </c>
      <c r="F66" t="s">
        <v>33</v>
      </c>
      <c r="G66">
        <v>1</v>
      </c>
      <c r="H66" t="s">
        <v>27</v>
      </c>
      <c r="I66">
        <v>850</v>
      </c>
      <c r="J66">
        <v>0</v>
      </c>
      <c r="K66">
        <v>850</v>
      </c>
      <c r="L66" s="2">
        <v>45717</v>
      </c>
    </row>
    <row r="67" spans="1:12" x14ac:dyDescent="0.25">
      <c r="A67" t="s">
        <v>100</v>
      </c>
      <c r="B67" s="1">
        <v>45743</v>
      </c>
      <c r="C67" t="s">
        <v>38</v>
      </c>
      <c r="D67" t="s">
        <v>47</v>
      </c>
      <c r="E67" t="s">
        <v>15</v>
      </c>
      <c r="F67" t="s">
        <v>26</v>
      </c>
      <c r="G67">
        <v>1</v>
      </c>
      <c r="H67" t="s">
        <v>17</v>
      </c>
      <c r="I67">
        <v>58000</v>
      </c>
      <c r="J67">
        <v>0</v>
      </c>
      <c r="K67">
        <v>58000</v>
      </c>
      <c r="L67" s="2">
        <v>45717</v>
      </c>
    </row>
    <row r="68" spans="1:12" x14ac:dyDescent="0.25">
      <c r="A68" t="s">
        <v>101</v>
      </c>
      <c r="B68" s="1">
        <v>45743</v>
      </c>
      <c r="C68" t="s">
        <v>19</v>
      </c>
      <c r="D68" t="s">
        <v>14</v>
      </c>
      <c r="E68" t="s">
        <v>15</v>
      </c>
      <c r="F68" t="s">
        <v>16</v>
      </c>
      <c r="G68">
        <v>5</v>
      </c>
      <c r="H68" t="s">
        <v>23</v>
      </c>
      <c r="I68">
        <v>12500</v>
      </c>
      <c r="J68">
        <v>0.1</v>
      </c>
      <c r="K68">
        <v>56250</v>
      </c>
      <c r="L68" s="2">
        <v>45717</v>
      </c>
    </row>
    <row r="69" spans="1:12" x14ac:dyDescent="0.25">
      <c r="A69" t="s">
        <v>102</v>
      </c>
      <c r="B69" s="1">
        <v>45743</v>
      </c>
      <c r="C69" t="s">
        <v>32</v>
      </c>
      <c r="D69" t="s">
        <v>14</v>
      </c>
      <c r="E69" t="s">
        <v>21</v>
      </c>
      <c r="F69" t="s">
        <v>26</v>
      </c>
      <c r="G69">
        <v>1</v>
      </c>
      <c r="H69" t="s">
        <v>27</v>
      </c>
      <c r="I69">
        <v>1900</v>
      </c>
      <c r="J69">
        <v>0.05</v>
      </c>
      <c r="K69">
        <v>1805</v>
      </c>
      <c r="L69" s="2">
        <v>45717</v>
      </c>
    </row>
    <row r="70" spans="1:12" x14ac:dyDescent="0.25">
      <c r="A70" t="s">
        <v>103</v>
      </c>
      <c r="B70" s="1">
        <v>45743</v>
      </c>
      <c r="C70" t="s">
        <v>25</v>
      </c>
      <c r="D70" t="s">
        <v>20</v>
      </c>
      <c r="E70" t="s">
        <v>21</v>
      </c>
      <c r="F70" t="s">
        <v>43</v>
      </c>
      <c r="G70">
        <v>5</v>
      </c>
      <c r="H70" t="s">
        <v>27</v>
      </c>
      <c r="I70">
        <v>2800</v>
      </c>
      <c r="J70">
        <v>0.1</v>
      </c>
      <c r="K70">
        <v>12600</v>
      </c>
      <c r="L70" s="2">
        <v>45717</v>
      </c>
    </row>
    <row r="71" spans="1:12" x14ac:dyDescent="0.25">
      <c r="A71" t="s">
        <v>104</v>
      </c>
      <c r="B71" s="1">
        <v>45744</v>
      </c>
      <c r="C71" t="s">
        <v>25</v>
      </c>
      <c r="D71" t="s">
        <v>14</v>
      </c>
      <c r="E71" t="s">
        <v>21</v>
      </c>
      <c r="F71" t="s">
        <v>22</v>
      </c>
      <c r="G71">
        <v>4</v>
      </c>
      <c r="H71" t="s">
        <v>27</v>
      </c>
      <c r="I71">
        <v>2800</v>
      </c>
      <c r="J71">
        <v>0.1</v>
      </c>
      <c r="K71">
        <v>10080</v>
      </c>
      <c r="L71" s="2">
        <v>45717</v>
      </c>
    </row>
    <row r="72" spans="1:12" x14ac:dyDescent="0.25">
      <c r="A72" t="s">
        <v>105</v>
      </c>
      <c r="B72" s="1">
        <v>45745</v>
      </c>
      <c r="C72" t="s">
        <v>38</v>
      </c>
      <c r="D72" t="s">
        <v>14</v>
      </c>
      <c r="E72" t="s">
        <v>21</v>
      </c>
      <c r="F72" t="s">
        <v>16</v>
      </c>
      <c r="G72">
        <v>5</v>
      </c>
      <c r="H72" t="s">
        <v>17</v>
      </c>
      <c r="I72">
        <v>58000</v>
      </c>
      <c r="J72">
        <v>0.05</v>
      </c>
      <c r="K72">
        <v>275500</v>
      </c>
      <c r="L72" s="2">
        <v>45717</v>
      </c>
    </row>
    <row r="73" spans="1:12" x14ac:dyDescent="0.25">
      <c r="A73" t="s">
        <v>106</v>
      </c>
      <c r="B73" s="1">
        <v>45745</v>
      </c>
      <c r="C73" t="s">
        <v>13</v>
      </c>
      <c r="D73" t="s">
        <v>14</v>
      </c>
      <c r="E73" t="s">
        <v>15</v>
      </c>
      <c r="F73" t="s">
        <v>16</v>
      </c>
      <c r="G73">
        <v>3</v>
      </c>
      <c r="H73" t="s">
        <v>17</v>
      </c>
      <c r="I73">
        <v>26000</v>
      </c>
      <c r="J73">
        <v>0</v>
      </c>
      <c r="K73">
        <v>78000</v>
      </c>
      <c r="L73" s="2">
        <v>45717</v>
      </c>
    </row>
    <row r="74" spans="1:12" x14ac:dyDescent="0.25">
      <c r="A74" t="s">
        <v>107</v>
      </c>
      <c r="B74" s="1">
        <v>45746</v>
      </c>
      <c r="C74" t="s">
        <v>42</v>
      </c>
      <c r="D74" t="s">
        <v>14</v>
      </c>
      <c r="E74" t="s">
        <v>15</v>
      </c>
      <c r="F74" t="s">
        <v>43</v>
      </c>
      <c r="G74">
        <v>3</v>
      </c>
      <c r="H74" t="s">
        <v>17</v>
      </c>
      <c r="I74">
        <v>14500</v>
      </c>
      <c r="J74">
        <v>0.1</v>
      </c>
      <c r="K74">
        <v>39150</v>
      </c>
      <c r="L74" s="2">
        <v>45717</v>
      </c>
    </row>
    <row r="75" spans="1:12" x14ac:dyDescent="0.25">
      <c r="A75" t="s">
        <v>108</v>
      </c>
      <c r="B75" s="1">
        <v>45747</v>
      </c>
      <c r="C75" t="s">
        <v>32</v>
      </c>
      <c r="D75" t="s">
        <v>47</v>
      </c>
      <c r="E75" t="s">
        <v>15</v>
      </c>
      <c r="F75" t="s">
        <v>43</v>
      </c>
      <c r="G75">
        <v>1</v>
      </c>
      <c r="H75" t="s">
        <v>27</v>
      </c>
      <c r="I75">
        <v>1900</v>
      </c>
      <c r="J75">
        <v>0</v>
      </c>
      <c r="K75">
        <v>1900</v>
      </c>
      <c r="L75" s="2">
        <v>45717</v>
      </c>
    </row>
    <row r="76" spans="1:12" x14ac:dyDescent="0.25">
      <c r="A76" t="s">
        <v>109</v>
      </c>
      <c r="B76" s="1">
        <v>45748</v>
      </c>
      <c r="C76" t="s">
        <v>13</v>
      </c>
      <c r="D76" t="s">
        <v>14</v>
      </c>
      <c r="E76" t="s">
        <v>21</v>
      </c>
      <c r="F76" t="s">
        <v>16</v>
      </c>
      <c r="G76">
        <v>1</v>
      </c>
      <c r="H76" t="s">
        <v>17</v>
      </c>
      <c r="I76">
        <v>26000</v>
      </c>
      <c r="J76">
        <v>0.1</v>
      </c>
      <c r="K76">
        <v>23400</v>
      </c>
      <c r="L76" s="2">
        <v>45748</v>
      </c>
    </row>
    <row r="77" spans="1:12" x14ac:dyDescent="0.25">
      <c r="A77" t="s">
        <v>110</v>
      </c>
      <c r="B77" s="1">
        <v>45748</v>
      </c>
      <c r="C77" t="s">
        <v>42</v>
      </c>
      <c r="D77" t="s">
        <v>14</v>
      </c>
      <c r="E77" t="s">
        <v>21</v>
      </c>
      <c r="F77" t="s">
        <v>43</v>
      </c>
      <c r="G77">
        <v>1</v>
      </c>
      <c r="H77" t="s">
        <v>17</v>
      </c>
      <c r="I77">
        <v>14500</v>
      </c>
      <c r="J77">
        <v>0.15</v>
      </c>
      <c r="K77">
        <v>12325</v>
      </c>
      <c r="L77" s="2">
        <v>45748</v>
      </c>
    </row>
    <row r="78" spans="1:12" x14ac:dyDescent="0.25">
      <c r="A78" t="s">
        <v>111</v>
      </c>
      <c r="B78" s="1">
        <v>45749</v>
      </c>
      <c r="C78" t="s">
        <v>25</v>
      </c>
      <c r="D78" t="s">
        <v>29</v>
      </c>
      <c r="E78" t="s">
        <v>15</v>
      </c>
      <c r="F78" t="s">
        <v>26</v>
      </c>
      <c r="G78">
        <v>3</v>
      </c>
      <c r="H78" t="s">
        <v>27</v>
      </c>
      <c r="I78">
        <v>2800</v>
      </c>
      <c r="J78">
        <v>0</v>
      </c>
      <c r="K78">
        <v>8400</v>
      </c>
      <c r="L78" s="2">
        <v>45748</v>
      </c>
    </row>
    <row r="79" spans="1:12" x14ac:dyDescent="0.25">
      <c r="A79" t="s">
        <v>112</v>
      </c>
      <c r="B79" s="1">
        <v>45749</v>
      </c>
      <c r="C79" t="s">
        <v>32</v>
      </c>
      <c r="D79" t="s">
        <v>14</v>
      </c>
      <c r="E79" t="s">
        <v>15</v>
      </c>
      <c r="F79" t="s">
        <v>26</v>
      </c>
      <c r="G79">
        <v>6</v>
      </c>
      <c r="H79" t="s">
        <v>27</v>
      </c>
      <c r="I79">
        <v>1900</v>
      </c>
      <c r="J79">
        <v>0.1</v>
      </c>
      <c r="K79">
        <v>10260</v>
      </c>
      <c r="L79" s="2">
        <v>45748</v>
      </c>
    </row>
    <row r="80" spans="1:12" x14ac:dyDescent="0.25">
      <c r="A80" t="s">
        <v>113</v>
      </c>
      <c r="B80" s="1">
        <v>45750</v>
      </c>
      <c r="C80" t="s">
        <v>36</v>
      </c>
      <c r="D80" t="s">
        <v>20</v>
      </c>
      <c r="E80" t="s">
        <v>15</v>
      </c>
      <c r="F80" t="s">
        <v>22</v>
      </c>
      <c r="G80">
        <v>4</v>
      </c>
      <c r="H80" t="s">
        <v>23</v>
      </c>
      <c r="I80">
        <v>9200</v>
      </c>
      <c r="J80">
        <v>0.05</v>
      </c>
      <c r="K80">
        <v>34960</v>
      </c>
      <c r="L80" s="2">
        <v>45748</v>
      </c>
    </row>
    <row r="81" spans="1:12" x14ac:dyDescent="0.25">
      <c r="A81" t="s">
        <v>114</v>
      </c>
      <c r="B81" s="1">
        <v>45750</v>
      </c>
      <c r="C81" t="s">
        <v>38</v>
      </c>
      <c r="D81" t="s">
        <v>20</v>
      </c>
      <c r="E81" t="s">
        <v>15</v>
      </c>
      <c r="F81" t="s">
        <v>30</v>
      </c>
      <c r="G81">
        <v>4</v>
      </c>
      <c r="H81" t="s">
        <v>17</v>
      </c>
      <c r="I81">
        <v>58000</v>
      </c>
      <c r="J81">
        <v>0</v>
      </c>
      <c r="K81">
        <v>232000</v>
      </c>
      <c r="L81" s="2">
        <v>45748</v>
      </c>
    </row>
    <row r="82" spans="1:12" x14ac:dyDescent="0.25">
      <c r="A82" t="s">
        <v>115</v>
      </c>
      <c r="B82" s="1">
        <v>45753</v>
      </c>
      <c r="C82" t="s">
        <v>32</v>
      </c>
      <c r="D82" t="s">
        <v>47</v>
      </c>
      <c r="E82" t="s">
        <v>15</v>
      </c>
      <c r="F82" t="s">
        <v>22</v>
      </c>
      <c r="G82">
        <v>3</v>
      </c>
      <c r="H82" t="s">
        <v>27</v>
      </c>
      <c r="I82">
        <v>1900</v>
      </c>
      <c r="J82">
        <v>0.05</v>
      </c>
      <c r="K82">
        <v>5415</v>
      </c>
      <c r="L82" s="2">
        <v>45748</v>
      </c>
    </row>
    <row r="83" spans="1:12" x14ac:dyDescent="0.25">
      <c r="A83" t="s">
        <v>116</v>
      </c>
      <c r="B83" s="1">
        <v>45754</v>
      </c>
      <c r="C83" t="s">
        <v>36</v>
      </c>
      <c r="D83" t="s">
        <v>20</v>
      </c>
      <c r="E83" t="s">
        <v>21</v>
      </c>
      <c r="F83" t="s">
        <v>26</v>
      </c>
      <c r="G83">
        <v>1</v>
      </c>
      <c r="H83" t="s">
        <v>23</v>
      </c>
      <c r="I83">
        <v>9200</v>
      </c>
      <c r="J83">
        <v>0.15</v>
      </c>
      <c r="K83">
        <v>7820</v>
      </c>
      <c r="L83" s="2">
        <v>45748</v>
      </c>
    </row>
    <row r="84" spans="1:12" x14ac:dyDescent="0.25">
      <c r="A84" t="s">
        <v>117</v>
      </c>
      <c r="B84" s="1">
        <v>45755</v>
      </c>
      <c r="C84" t="s">
        <v>36</v>
      </c>
      <c r="D84" t="s">
        <v>47</v>
      </c>
      <c r="E84" t="s">
        <v>15</v>
      </c>
      <c r="F84" t="s">
        <v>22</v>
      </c>
      <c r="G84">
        <v>2</v>
      </c>
      <c r="H84" t="s">
        <v>23</v>
      </c>
      <c r="I84">
        <v>9200</v>
      </c>
      <c r="J84">
        <v>0.1</v>
      </c>
      <c r="K84">
        <v>16560</v>
      </c>
      <c r="L84" s="2">
        <v>45748</v>
      </c>
    </row>
    <row r="85" spans="1:12" x14ac:dyDescent="0.25">
      <c r="A85" t="s">
        <v>118</v>
      </c>
      <c r="B85" s="1">
        <v>45758</v>
      </c>
      <c r="C85" t="s">
        <v>46</v>
      </c>
      <c r="D85" t="s">
        <v>47</v>
      </c>
      <c r="E85" t="s">
        <v>21</v>
      </c>
      <c r="F85" t="s">
        <v>43</v>
      </c>
      <c r="G85">
        <v>4</v>
      </c>
      <c r="H85" t="s">
        <v>27</v>
      </c>
      <c r="I85">
        <v>850</v>
      </c>
      <c r="J85">
        <v>0</v>
      </c>
      <c r="K85">
        <v>3400</v>
      </c>
      <c r="L85" s="2">
        <v>45748</v>
      </c>
    </row>
    <row r="86" spans="1:12" x14ac:dyDescent="0.25">
      <c r="A86" t="s">
        <v>119</v>
      </c>
      <c r="B86" s="1">
        <v>45759</v>
      </c>
      <c r="C86" t="s">
        <v>13</v>
      </c>
      <c r="D86" t="s">
        <v>14</v>
      </c>
      <c r="E86" t="s">
        <v>21</v>
      </c>
      <c r="F86" t="s">
        <v>33</v>
      </c>
      <c r="G86">
        <v>3</v>
      </c>
      <c r="H86" t="s">
        <v>17</v>
      </c>
      <c r="I86">
        <v>26000</v>
      </c>
      <c r="J86">
        <v>0.05</v>
      </c>
      <c r="K86">
        <v>74100</v>
      </c>
      <c r="L86" s="2">
        <v>45748</v>
      </c>
    </row>
    <row r="87" spans="1:12" x14ac:dyDescent="0.25">
      <c r="A87" t="s">
        <v>120</v>
      </c>
      <c r="B87" s="1">
        <v>45759</v>
      </c>
      <c r="C87" t="s">
        <v>32</v>
      </c>
      <c r="D87" t="s">
        <v>14</v>
      </c>
      <c r="E87" t="s">
        <v>21</v>
      </c>
      <c r="F87" t="s">
        <v>16</v>
      </c>
      <c r="G87">
        <v>3</v>
      </c>
      <c r="H87" t="s">
        <v>27</v>
      </c>
      <c r="I87">
        <v>1900</v>
      </c>
      <c r="J87">
        <v>0.1</v>
      </c>
      <c r="K87">
        <v>5130</v>
      </c>
      <c r="L87" s="2">
        <v>45748</v>
      </c>
    </row>
    <row r="88" spans="1:12" x14ac:dyDescent="0.25">
      <c r="A88" t="s">
        <v>121</v>
      </c>
      <c r="B88" s="1">
        <v>45760</v>
      </c>
      <c r="C88" t="s">
        <v>36</v>
      </c>
      <c r="D88" t="s">
        <v>20</v>
      </c>
      <c r="E88" t="s">
        <v>21</v>
      </c>
      <c r="F88" t="s">
        <v>43</v>
      </c>
      <c r="G88">
        <v>4</v>
      </c>
      <c r="H88" t="s">
        <v>23</v>
      </c>
      <c r="I88">
        <v>9200</v>
      </c>
      <c r="J88">
        <v>0</v>
      </c>
      <c r="K88">
        <v>36800</v>
      </c>
      <c r="L88" s="2">
        <v>45748</v>
      </c>
    </row>
    <row r="89" spans="1:12" x14ac:dyDescent="0.25">
      <c r="A89" t="s">
        <v>122</v>
      </c>
      <c r="B89" s="1">
        <v>45762</v>
      </c>
      <c r="C89" t="s">
        <v>32</v>
      </c>
      <c r="D89" t="s">
        <v>20</v>
      </c>
      <c r="E89" t="s">
        <v>21</v>
      </c>
      <c r="F89" t="s">
        <v>43</v>
      </c>
      <c r="G89">
        <v>3</v>
      </c>
      <c r="H89" t="s">
        <v>27</v>
      </c>
      <c r="I89">
        <v>1900</v>
      </c>
      <c r="J89">
        <v>0.05</v>
      </c>
      <c r="K89">
        <v>5415</v>
      </c>
      <c r="L89" s="2">
        <v>45748</v>
      </c>
    </row>
    <row r="90" spans="1:12" x14ac:dyDescent="0.25">
      <c r="A90" t="s">
        <v>123</v>
      </c>
      <c r="B90" s="1">
        <v>45766</v>
      </c>
      <c r="C90" t="s">
        <v>46</v>
      </c>
      <c r="D90" t="s">
        <v>29</v>
      </c>
      <c r="E90" t="s">
        <v>15</v>
      </c>
      <c r="F90" t="s">
        <v>33</v>
      </c>
      <c r="G90">
        <v>4</v>
      </c>
      <c r="H90" t="s">
        <v>27</v>
      </c>
      <c r="I90">
        <v>850</v>
      </c>
      <c r="J90">
        <v>0.05</v>
      </c>
      <c r="K90">
        <v>3230</v>
      </c>
      <c r="L90" s="2">
        <v>45748</v>
      </c>
    </row>
    <row r="91" spans="1:12" x14ac:dyDescent="0.25">
      <c r="A91" t="s">
        <v>124</v>
      </c>
      <c r="B91" s="1">
        <v>45767</v>
      </c>
      <c r="C91" t="s">
        <v>36</v>
      </c>
      <c r="D91" t="s">
        <v>29</v>
      </c>
      <c r="E91" t="s">
        <v>21</v>
      </c>
      <c r="F91" t="s">
        <v>33</v>
      </c>
      <c r="G91">
        <v>6</v>
      </c>
      <c r="H91" t="s">
        <v>23</v>
      </c>
      <c r="I91">
        <v>9200</v>
      </c>
      <c r="J91">
        <v>0.1</v>
      </c>
      <c r="K91">
        <v>49680</v>
      </c>
      <c r="L91" s="2">
        <v>45748</v>
      </c>
    </row>
    <row r="92" spans="1:12" x14ac:dyDescent="0.25">
      <c r="A92" t="s">
        <v>125</v>
      </c>
      <c r="B92" s="1">
        <v>45768</v>
      </c>
      <c r="C92" t="s">
        <v>32</v>
      </c>
      <c r="D92" t="s">
        <v>14</v>
      </c>
      <c r="E92" t="s">
        <v>21</v>
      </c>
      <c r="F92" t="s">
        <v>33</v>
      </c>
      <c r="G92">
        <v>1</v>
      </c>
      <c r="H92" t="s">
        <v>27</v>
      </c>
      <c r="I92">
        <v>1900</v>
      </c>
      <c r="J92">
        <v>0.05</v>
      </c>
      <c r="K92">
        <v>1805</v>
      </c>
      <c r="L92" s="2">
        <v>45748</v>
      </c>
    </row>
    <row r="93" spans="1:12" x14ac:dyDescent="0.25">
      <c r="A93" t="s">
        <v>126</v>
      </c>
      <c r="B93" s="1">
        <v>45774</v>
      </c>
      <c r="C93" t="s">
        <v>38</v>
      </c>
      <c r="D93" t="s">
        <v>14</v>
      </c>
      <c r="E93" t="s">
        <v>15</v>
      </c>
      <c r="F93" t="s">
        <v>43</v>
      </c>
      <c r="G93">
        <v>5</v>
      </c>
      <c r="H93" t="s">
        <v>17</v>
      </c>
      <c r="I93">
        <v>58000</v>
      </c>
      <c r="J93">
        <v>0.1</v>
      </c>
      <c r="K93">
        <v>261000</v>
      </c>
      <c r="L93" s="2">
        <v>45748</v>
      </c>
    </row>
    <row r="94" spans="1:12" x14ac:dyDescent="0.25">
      <c r="A94" t="s">
        <v>127</v>
      </c>
      <c r="B94" s="1">
        <v>45774</v>
      </c>
      <c r="C94" t="s">
        <v>19</v>
      </c>
      <c r="D94" t="s">
        <v>20</v>
      </c>
      <c r="E94" t="s">
        <v>15</v>
      </c>
      <c r="F94" t="s">
        <v>43</v>
      </c>
      <c r="G94">
        <v>5</v>
      </c>
      <c r="H94" t="s">
        <v>23</v>
      </c>
      <c r="I94">
        <v>12500</v>
      </c>
      <c r="J94">
        <v>0</v>
      </c>
      <c r="K94">
        <v>62500</v>
      </c>
      <c r="L94" s="2">
        <v>45748</v>
      </c>
    </row>
    <row r="95" spans="1:12" x14ac:dyDescent="0.25">
      <c r="A95" t="s">
        <v>128</v>
      </c>
      <c r="B95" s="1">
        <v>45774</v>
      </c>
      <c r="C95" t="s">
        <v>32</v>
      </c>
      <c r="D95" t="s">
        <v>14</v>
      </c>
      <c r="E95" t="s">
        <v>15</v>
      </c>
      <c r="F95" t="s">
        <v>16</v>
      </c>
      <c r="G95">
        <v>6</v>
      </c>
      <c r="H95" t="s">
        <v>27</v>
      </c>
      <c r="I95">
        <v>1900</v>
      </c>
      <c r="J95">
        <v>0</v>
      </c>
      <c r="K95">
        <v>11400</v>
      </c>
      <c r="L95" s="2">
        <v>45748</v>
      </c>
    </row>
    <row r="96" spans="1:12" x14ac:dyDescent="0.25">
      <c r="A96" t="s">
        <v>129</v>
      </c>
      <c r="B96" s="1">
        <v>45775</v>
      </c>
      <c r="C96" t="s">
        <v>36</v>
      </c>
      <c r="D96" t="s">
        <v>14</v>
      </c>
      <c r="E96" t="s">
        <v>21</v>
      </c>
      <c r="F96" t="s">
        <v>22</v>
      </c>
      <c r="G96">
        <v>1</v>
      </c>
      <c r="H96" t="s">
        <v>23</v>
      </c>
      <c r="I96">
        <v>9200</v>
      </c>
      <c r="J96">
        <v>0.15</v>
      </c>
      <c r="K96">
        <v>7820</v>
      </c>
      <c r="L96" s="2">
        <v>45748</v>
      </c>
    </row>
    <row r="97" spans="1:12" x14ac:dyDescent="0.25">
      <c r="A97" t="s">
        <v>130</v>
      </c>
      <c r="B97" s="1">
        <v>45776</v>
      </c>
      <c r="C97" t="s">
        <v>38</v>
      </c>
      <c r="D97" t="s">
        <v>20</v>
      </c>
      <c r="E97" t="s">
        <v>15</v>
      </c>
      <c r="F97" t="s">
        <v>16</v>
      </c>
      <c r="G97">
        <v>6</v>
      </c>
      <c r="H97" t="s">
        <v>17</v>
      </c>
      <c r="I97">
        <v>58000</v>
      </c>
      <c r="J97">
        <v>0.05</v>
      </c>
      <c r="K97">
        <v>330600</v>
      </c>
      <c r="L97" s="2">
        <v>45748</v>
      </c>
    </row>
    <row r="98" spans="1:12" x14ac:dyDescent="0.25">
      <c r="A98" t="s">
        <v>131</v>
      </c>
      <c r="B98" s="1">
        <v>45777</v>
      </c>
      <c r="C98" t="s">
        <v>42</v>
      </c>
      <c r="D98" t="s">
        <v>29</v>
      </c>
      <c r="E98" t="s">
        <v>15</v>
      </c>
      <c r="F98" t="s">
        <v>16</v>
      </c>
      <c r="G98">
        <v>5</v>
      </c>
      <c r="H98" t="s">
        <v>17</v>
      </c>
      <c r="I98">
        <v>14500</v>
      </c>
      <c r="J98">
        <v>0.05</v>
      </c>
      <c r="K98">
        <v>68875</v>
      </c>
      <c r="L98" s="2">
        <v>45748</v>
      </c>
    </row>
    <row r="99" spans="1:12" x14ac:dyDescent="0.25">
      <c r="A99" t="s">
        <v>132</v>
      </c>
      <c r="B99" s="1">
        <v>45777</v>
      </c>
      <c r="C99" t="s">
        <v>38</v>
      </c>
      <c r="D99" t="s">
        <v>20</v>
      </c>
      <c r="E99" t="s">
        <v>21</v>
      </c>
      <c r="F99" t="s">
        <v>26</v>
      </c>
      <c r="G99">
        <v>4</v>
      </c>
      <c r="H99" t="s">
        <v>17</v>
      </c>
      <c r="I99">
        <v>58000</v>
      </c>
      <c r="J99">
        <v>0.1</v>
      </c>
      <c r="K99">
        <v>208800</v>
      </c>
      <c r="L99" s="2">
        <v>45748</v>
      </c>
    </row>
    <row r="100" spans="1:12" x14ac:dyDescent="0.25">
      <c r="A100" t="s">
        <v>133</v>
      </c>
      <c r="B100" s="1">
        <v>45778</v>
      </c>
      <c r="C100" t="s">
        <v>13</v>
      </c>
      <c r="D100" t="s">
        <v>14</v>
      </c>
      <c r="E100" t="s">
        <v>15</v>
      </c>
      <c r="F100" t="s">
        <v>16</v>
      </c>
      <c r="G100">
        <v>2</v>
      </c>
      <c r="H100" t="s">
        <v>17</v>
      </c>
      <c r="I100">
        <v>26000</v>
      </c>
      <c r="J100">
        <v>0.1</v>
      </c>
      <c r="K100">
        <v>46800</v>
      </c>
      <c r="L100" s="2">
        <v>45778</v>
      </c>
    </row>
    <row r="101" spans="1:12" x14ac:dyDescent="0.25">
      <c r="A101" t="s">
        <v>134</v>
      </c>
      <c r="B101" s="1">
        <v>45782</v>
      </c>
      <c r="C101" t="s">
        <v>19</v>
      </c>
      <c r="D101" t="s">
        <v>20</v>
      </c>
      <c r="E101" t="s">
        <v>15</v>
      </c>
      <c r="F101" t="s">
        <v>26</v>
      </c>
      <c r="G101">
        <v>1</v>
      </c>
      <c r="H101" t="s">
        <v>23</v>
      </c>
      <c r="I101">
        <v>12500</v>
      </c>
      <c r="J101">
        <v>0</v>
      </c>
      <c r="K101">
        <v>12500</v>
      </c>
      <c r="L101" s="2">
        <v>45778</v>
      </c>
    </row>
    <row r="102" spans="1:12" x14ac:dyDescent="0.25">
      <c r="A102" t="s">
        <v>135</v>
      </c>
      <c r="B102" s="1">
        <v>45785</v>
      </c>
      <c r="C102" t="s">
        <v>42</v>
      </c>
      <c r="D102" t="s">
        <v>20</v>
      </c>
      <c r="E102" t="s">
        <v>21</v>
      </c>
      <c r="F102" t="s">
        <v>30</v>
      </c>
      <c r="G102">
        <v>1</v>
      </c>
      <c r="H102" t="s">
        <v>17</v>
      </c>
      <c r="I102">
        <v>14500</v>
      </c>
      <c r="J102">
        <v>0.1</v>
      </c>
      <c r="K102">
        <v>13050</v>
      </c>
      <c r="L102" s="2">
        <v>45778</v>
      </c>
    </row>
    <row r="103" spans="1:12" x14ac:dyDescent="0.25">
      <c r="A103" t="s">
        <v>136</v>
      </c>
      <c r="B103" s="1">
        <v>45785</v>
      </c>
      <c r="C103" t="s">
        <v>36</v>
      </c>
      <c r="D103" t="s">
        <v>29</v>
      </c>
      <c r="E103" t="s">
        <v>15</v>
      </c>
      <c r="F103" t="s">
        <v>43</v>
      </c>
      <c r="G103">
        <v>6</v>
      </c>
      <c r="H103" t="s">
        <v>23</v>
      </c>
      <c r="I103">
        <v>9200</v>
      </c>
      <c r="J103">
        <v>0.1</v>
      </c>
      <c r="K103">
        <v>49680</v>
      </c>
      <c r="L103" s="2">
        <v>45778</v>
      </c>
    </row>
    <row r="104" spans="1:12" x14ac:dyDescent="0.25">
      <c r="A104" t="s">
        <v>137</v>
      </c>
      <c r="B104" s="1">
        <v>45786</v>
      </c>
      <c r="C104" t="s">
        <v>42</v>
      </c>
      <c r="D104" t="s">
        <v>47</v>
      </c>
      <c r="E104" t="s">
        <v>21</v>
      </c>
      <c r="F104" t="s">
        <v>16</v>
      </c>
      <c r="G104">
        <v>3</v>
      </c>
      <c r="H104" t="s">
        <v>17</v>
      </c>
      <c r="I104">
        <v>14500</v>
      </c>
      <c r="J104">
        <v>0</v>
      </c>
      <c r="K104">
        <v>43500</v>
      </c>
      <c r="L104" s="2">
        <v>45778</v>
      </c>
    </row>
    <row r="105" spans="1:12" x14ac:dyDescent="0.25">
      <c r="A105" t="s">
        <v>138</v>
      </c>
      <c r="B105" s="1">
        <v>45786</v>
      </c>
      <c r="C105" t="s">
        <v>36</v>
      </c>
      <c r="D105" t="s">
        <v>14</v>
      </c>
      <c r="E105" t="s">
        <v>15</v>
      </c>
      <c r="F105" t="s">
        <v>22</v>
      </c>
      <c r="G105">
        <v>3</v>
      </c>
      <c r="H105" t="s">
        <v>23</v>
      </c>
      <c r="I105">
        <v>9200</v>
      </c>
      <c r="J105">
        <v>0</v>
      </c>
      <c r="K105">
        <v>27600</v>
      </c>
      <c r="L105" s="2">
        <v>45778</v>
      </c>
    </row>
    <row r="106" spans="1:12" x14ac:dyDescent="0.25">
      <c r="A106" t="s">
        <v>139</v>
      </c>
      <c r="B106" s="1">
        <v>45786</v>
      </c>
      <c r="C106" t="s">
        <v>32</v>
      </c>
      <c r="D106" t="s">
        <v>29</v>
      </c>
      <c r="E106" t="s">
        <v>15</v>
      </c>
      <c r="F106" t="s">
        <v>33</v>
      </c>
      <c r="G106">
        <v>2</v>
      </c>
      <c r="H106" t="s">
        <v>27</v>
      </c>
      <c r="I106">
        <v>1900</v>
      </c>
      <c r="J106">
        <v>0.1</v>
      </c>
      <c r="K106">
        <v>3420</v>
      </c>
      <c r="L106" s="2">
        <v>45778</v>
      </c>
    </row>
    <row r="107" spans="1:12" x14ac:dyDescent="0.25">
      <c r="A107" t="s">
        <v>140</v>
      </c>
      <c r="B107" s="1">
        <v>45786</v>
      </c>
      <c r="C107" t="s">
        <v>42</v>
      </c>
      <c r="D107" t="s">
        <v>47</v>
      </c>
      <c r="E107" t="s">
        <v>21</v>
      </c>
      <c r="F107" t="s">
        <v>22</v>
      </c>
      <c r="G107">
        <v>6</v>
      </c>
      <c r="H107" t="s">
        <v>17</v>
      </c>
      <c r="I107">
        <v>14500</v>
      </c>
      <c r="J107">
        <v>0.1</v>
      </c>
      <c r="K107">
        <v>78300</v>
      </c>
      <c r="L107" s="2">
        <v>45778</v>
      </c>
    </row>
    <row r="108" spans="1:12" x14ac:dyDescent="0.25">
      <c r="A108" t="s">
        <v>141</v>
      </c>
      <c r="B108" s="1">
        <v>45787</v>
      </c>
      <c r="C108" t="s">
        <v>32</v>
      </c>
      <c r="D108" t="s">
        <v>47</v>
      </c>
      <c r="E108" t="s">
        <v>15</v>
      </c>
      <c r="F108" t="s">
        <v>16</v>
      </c>
      <c r="G108">
        <v>3</v>
      </c>
      <c r="H108" t="s">
        <v>27</v>
      </c>
      <c r="I108">
        <v>1900</v>
      </c>
      <c r="J108">
        <v>0.05</v>
      </c>
      <c r="K108">
        <v>5415</v>
      </c>
      <c r="L108" s="2">
        <v>45778</v>
      </c>
    </row>
    <row r="109" spans="1:12" x14ac:dyDescent="0.25">
      <c r="A109" t="s">
        <v>142</v>
      </c>
      <c r="B109" s="1">
        <v>45788</v>
      </c>
      <c r="C109" t="s">
        <v>36</v>
      </c>
      <c r="D109" t="s">
        <v>20</v>
      </c>
      <c r="E109" t="s">
        <v>21</v>
      </c>
      <c r="F109" t="s">
        <v>22</v>
      </c>
      <c r="G109">
        <v>1</v>
      </c>
      <c r="H109" t="s">
        <v>23</v>
      </c>
      <c r="I109">
        <v>9200</v>
      </c>
      <c r="J109">
        <v>0.05</v>
      </c>
      <c r="K109">
        <v>8740</v>
      </c>
      <c r="L109" s="2">
        <v>45778</v>
      </c>
    </row>
    <row r="110" spans="1:12" x14ac:dyDescent="0.25">
      <c r="A110" t="s">
        <v>143</v>
      </c>
      <c r="B110" s="1">
        <v>45789</v>
      </c>
      <c r="C110" t="s">
        <v>32</v>
      </c>
      <c r="D110" t="s">
        <v>14</v>
      </c>
      <c r="E110" t="s">
        <v>21</v>
      </c>
      <c r="F110" t="s">
        <v>30</v>
      </c>
      <c r="G110">
        <v>1</v>
      </c>
      <c r="H110" t="s">
        <v>27</v>
      </c>
      <c r="I110">
        <v>1900</v>
      </c>
      <c r="J110">
        <v>0.1</v>
      </c>
      <c r="K110">
        <v>1710</v>
      </c>
      <c r="L110" s="2">
        <v>45778</v>
      </c>
    </row>
    <row r="111" spans="1:12" x14ac:dyDescent="0.25">
      <c r="A111" t="s">
        <v>144</v>
      </c>
      <c r="B111" s="1">
        <v>45789</v>
      </c>
      <c r="C111" t="s">
        <v>19</v>
      </c>
      <c r="D111" t="s">
        <v>20</v>
      </c>
      <c r="E111" t="s">
        <v>21</v>
      </c>
      <c r="F111" t="s">
        <v>22</v>
      </c>
      <c r="G111">
        <v>2</v>
      </c>
      <c r="H111" t="s">
        <v>23</v>
      </c>
      <c r="I111">
        <v>12500</v>
      </c>
      <c r="J111">
        <v>0.05</v>
      </c>
      <c r="K111">
        <v>23750</v>
      </c>
      <c r="L111" s="2">
        <v>45778</v>
      </c>
    </row>
    <row r="112" spans="1:12" x14ac:dyDescent="0.25">
      <c r="A112" t="s">
        <v>145</v>
      </c>
      <c r="B112" s="1">
        <v>45795</v>
      </c>
      <c r="C112" t="s">
        <v>42</v>
      </c>
      <c r="D112" t="s">
        <v>14</v>
      </c>
      <c r="E112" t="s">
        <v>15</v>
      </c>
      <c r="F112" t="s">
        <v>43</v>
      </c>
      <c r="G112">
        <v>2</v>
      </c>
      <c r="H112" t="s">
        <v>17</v>
      </c>
      <c r="I112">
        <v>14500</v>
      </c>
      <c r="J112">
        <v>0.15</v>
      </c>
      <c r="K112">
        <v>24650</v>
      </c>
      <c r="L112" s="2">
        <v>45778</v>
      </c>
    </row>
    <row r="113" spans="1:12" x14ac:dyDescent="0.25">
      <c r="A113" t="s">
        <v>146</v>
      </c>
      <c r="B113" s="1">
        <v>45799</v>
      </c>
      <c r="C113" t="s">
        <v>46</v>
      </c>
      <c r="D113" t="s">
        <v>14</v>
      </c>
      <c r="E113" t="s">
        <v>15</v>
      </c>
      <c r="F113" t="s">
        <v>16</v>
      </c>
      <c r="G113">
        <v>6</v>
      </c>
      <c r="H113" t="s">
        <v>27</v>
      </c>
      <c r="I113">
        <v>850</v>
      </c>
      <c r="J113">
        <v>0.05</v>
      </c>
      <c r="K113">
        <v>4845</v>
      </c>
      <c r="L113" s="2">
        <v>45778</v>
      </c>
    </row>
    <row r="114" spans="1:12" x14ac:dyDescent="0.25">
      <c r="A114" t="s">
        <v>147</v>
      </c>
      <c r="B114" s="1">
        <v>45801</v>
      </c>
      <c r="C114" t="s">
        <v>25</v>
      </c>
      <c r="D114" t="s">
        <v>29</v>
      </c>
      <c r="E114" t="s">
        <v>15</v>
      </c>
      <c r="F114" t="s">
        <v>30</v>
      </c>
      <c r="G114">
        <v>2</v>
      </c>
      <c r="H114" t="s">
        <v>27</v>
      </c>
      <c r="I114">
        <v>2800</v>
      </c>
      <c r="J114">
        <v>0</v>
      </c>
      <c r="K114">
        <v>5600</v>
      </c>
      <c r="L114" s="2">
        <v>45778</v>
      </c>
    </row>
    <row r="115" spans="1:12" x14ac:dyDescent="0.25">
      <c r="A115" t="s">
        <v>148</v>
      </c>
      <c r="B115" s="1">
        <v>45803</v>
      </c>
      <c r="C115" t="s">
        <v>13</v>
      </c>
      <c r="D115" t="s">
        <v>14</v>
      </c>
      <c r="E115" t="s">
        <v>21</v>
      </c>
      <c r="F115" t="s">
        <v>33</v>
      </c>
      <c r="G115">
        <v>3</v>
      </c>
      <c r="H115" t="s">
        <v>17</v>
      </c>
      <c r="I115">
        <v>26000</v>
      </c>
      <c r="J115">
        <v>0.1</v>
      </c>
      <c r="K115">
        <v>70200</v>
      </c>
      <c r="L115" s="2">
        <v>45778</v>
      </c>
    </row>
    <row r="116" spans="1:12" x14ac:dyDescent="0.25">
      <c r="A116" t="s">
        <v>149</v>
      </c>
      <c r="B116" s="1">
        <v>45803</v>
      </c>
      <c r="C116" t="s">
        <v>19</v>
      </c>
      <c r="D116" t="s">
        <v>20</v>
      </c>
      <c r="E116" t="s">
        <v>15</v>
      </c>
      <c r="F116" t="s">
        <v>33</v>
      </c>
      <c r="G116">
        <v>3</v>
      </c>
      <c r="H116" t="s">
        <v>23</v>
      </c>
      <c r="I116">
        <v>12500</v>
      </c>
      <c r="J116">
        <v>0.1</v>
      </c>
      <c r="K116">
        <v>33750</v>
      </c>
      <c r="L116" s="2">
        <v>45778</v>
      </c>
    </row>
    <row r="117" spans="1:12" x14ac:dyDescent="0.25">
      <c r="A117" t="s">
        <v>150</v>
      </c>
      <c r="B117" s="1">
        <v>45806</v>
      </c>
      <c r="C117" t="s">
        <v>25</v>
      </c>
      <c r="D117" t="s">
        <v>20</v>
      </c>
      <c r="E117" t="s">
        <v>21</v>
      </c>
      <c r="F117" t="s">
        <v>16</v>
      </c>
      <c r="G117">
        <v>6</v>
      </c>
      <c r="H117" t="s">
        <v>27</v>
      </c>
      <c r="I117">
        <v>2800</v>
      </c>
      <c r="J117">
        <v>0.1</v>
      </c>
      <c r="K117">
        <v>15120</v>
      </c>
      <c r="L117" s="2">
        <v>45778</v>
      </c>
    </row>
    <row r="118" spans="1:12" x14ac:dyDescent="0.25">
      <c r="A118" t="s">
        <v>151</v>
      </c>
      <c r="B118" s="1">
        <v>45807</v>
      </c>
      <c r="C118" t="s">
        <v>38</v>
      </c>
      <c r="D118" t="s">
        <v>14</v>
      </c>
      <c r="E118" t="s">
        <v>21</v>
      </c>
      <c r="F118" t="s">
        <v>16</v>
      </c>
      <c r="G118">
        <v>4</v>
      </c>
      <c r="H118" t="s">
        <v>17</v>
      </c>
      <c r="I118">
        <v>58000</v>
      </c>
      <c r="J118">
        <v>0.1</v>
      </c>
      <c r="K118">
        <v>208800</v>
      </c>
      <c r="L118" s="2">
        <v>45778</v>
      </c>
    </row>
    <row r="119" spans="1:12" x14ac:dyDescent="0.25">
      <c r="A119" t="s">
        <v>152</v>
      </c>
      <c r="B119" s="1">
        <v>45810</v>
      </c>
      <c r="C119" t="s">
        <v>25</v>
      </c>
      <c r="D119" t="s">
        <v>47</v>
      </c>
      <c r="E119" t="s">
        <v>15</v>
      </c>
      <c r="F119" t="s">
        <v>43</v>
      </c>
      <c r="G119">
        <v>4</v>
      </c>
      <c r="H119" t="s">
        <v>27</v>
      </c>
      <c r="I119">
        <v>2800</v>
      </c>
      <c r="J119">
        <v>0.1</v>
      </c>
      <c r="K119">
        <v>10080</v>
      </c>
      <c r="L119" s="2">
        <v>45809</v>
      </c>
    </row>
    <row r="120" spans="1:12" x14ac:dyDescent="0.25">
      <c r="A120" t="s">
        <v>153</v>
      </c>
      <c r="B120" s="1">
        <v>45812</v>
      </c>
      <c r="C120" t="s">
        <v>38</v>
      </c>
      <c r="D120" t="s">
        <v>14</v>
      </c>
      <c r="E120" t="s">
        <v>15</v>
      </c>
      <c r="F120" t="s">
        <v>30</v>
      </c>
      <c r="G120">
        <v>6</v>
      </c>
      <c r="H120" t="s">
        <v>17</v>
      </c>
      <c r="I120">
        <v>58000</v>
      </c>
      <c r="J120">
        <v>0.05</v>
      </c>
      <c r="K120">
        <v>330600</v>
      </c>
      <c r="L120" s="2">
        <v>45809</v>
      </c>
    </row>
    <row r="121" spans="1:12" x14ac:dyDescent="0.25">
      <c r="A121" t="s">
        <v>154</v>
      </c>
      <c r="B121" s="1">
        <v>45813</v>
      </c>
      <c r="C121" t="s">
        <v>36</v>
      </c>
      <c r="D121" t="s">
        <v>20</v>
      </c>
      <c r="E121" t="s">
        <v>21</v>
      </c>
      <c r="F121" t="s">
        <v>22</v>
      </c>
      <c r="G121">
        <v>5</v>
      </c>
      <c r="H121" t="s">
        <v>23</v>
      </c>
      <c r="I121">
        <v>9200</v>
      </c>
      <c r="J121">
        <v>0</v>
      </c>
      <c r="K121">
        <v>46000</v>
      </c>
      <c r="L121" s="2">
        <v>45809</v>
      </c>
    </row>
    <row r="122" spans="1:12" x14ac:dyDescent="0.25">
      <c r="A122" t="s">
        <v>155</v>
      </c>
      <c r="B122" s="1">
        <v>45813</v>
      </c>
      <c r="C122" t="s">
        <v>25</v>
      </c>
      <c r="D122" t="s">
        <v>29</v>
      </c>
      <c r="E122" t="s">
        <v>15</v>
      </c>
      <c r="F122" t="s">
        <v>26</v>
      </c>
      <c r="G122">
        <v>3</v>
      </c>
      <c r="H122" t="s">
        <v>27</v>
      </c>
      <c r="I122">
        <v>2800</v>
      </c>
      <c r="J122">
        <v>0.05</v>
      </c>
      <c r="K122">
        <v>7980</v>
      </c>
      <c r="L122" s="2">
        <v>45809</v>
      </c>
    </row>
    <row r="123" spans="1:12" x14ac:dyDescent="0.25">
      <c r="A123" t="s">
        <v>156</v>
      </c>
      <c r="B123" s="1">
        <v>45815</v>
      </c>
      <c r="C123" t="s">
        <v>25</v>
      </c>
      <c r="D123" t="s">
        <v>14</v>
      </c>
      <c r="E123" t="s">
        <v>15</v>
      </c>
      <c r="F123" t="s">
        <v>26</v>
      </c>
      <c r="G123">
        <v>6</v>
      </c>
      <c r="H123" t="s">
        <v>27</v>
      </c>
      <c r="I123">
        <v>2800</v>
      </c>
      <c r="J123">
        <v>0.05</v>
      </c>
      <c r="K123">
        <v>15960</v>
      </c>
      <c r="L123" s="2">
        <v>45809</v>
      </c>
    </row>
    <row r="124" spans="1:12" x14ac:dyDescent="0.25">
      <c r="A124" t="s">
        <v>157</v>
      </c>
      <c r="B124" s="1">
        <v>45816</v>
      </c>
      <c r="C124" t="s">
        <v>36</v>
      </c>
      <c r="D124" t="s">
        <v>47</v>
      </c>
      <c r="E124" t="s">
        <v>21</v>
      </c>
      <c r="F124" t="s">
        <v>30</v>
      </c>
      <c r="G124">
        <v>5</v>
      </c>
      <c r="H124" t="s">
        <v>23</v>
      </c>
      <c r="I124">
        <v>9200</v>
      </c>
      <c r="J124">
        <v>0.1</v>
      </c>
      <c r="K124">
        <v>41400</v>
      </c>
      <c r="L124" s="2">
        <v>45809</v>
      </c>
    </row>
    <row r="125" spans="1:12" x14ac:dyDescent="0.25">
      <c r="A125" t="s">
        <v>158</v>
      </c>
      <c r="B125" s="1">
        <v>45816</v>
      </c>
      <c r="C125" t="s">
        <v>46</v>
      </c>
      <c r="D125" t="s">
        <v>29</v>
      </c>
      <c r="E125" t="s">
        <v>21</v>
      </c>
      <c r="F125" t="s">
        <v>26</v>
      </c>
      <c r="G125">
        <v>5</v>
      </c>
      <c r="H125" t="s">
        <v>27</v>
      </c>
      <c r="I125">
        <v>850</v>
      </c>
      <c r="J125">
        <v>0.15</v>
      </c>
      <c r="K125">
        <v>3612.5</v>
      </c>
      <c r="L125" s="2">
        <v>45809</v>
      </c>
    </row>
    <row r="126" spans="1:12" x14ac:dyDescent="0.25">
      <c r="A126" t="s">
        <v>159</v>
      </c>
      <c r="B126" s="1">
        <v>45819</v>
      </c>
      <c r="C126" t="s">
        <v>13</v>
      </c>
      <c r="D126" t="s">
        <v>47</v>
      </c>
      <c r="E126" t="s">
        <v>21</v>
      </c>
      <c r="F126" t="s">
        <v>30</v>
      </c>
      <c r="G126">
        <v>5</v>
      </c>
      <c r="H126" t="s">
        <v>17</v>
      </c>
      <c r="I126">
        <v>26000</v>
      </c>
      <c r="J126">
        <v>0</v>
      </c>
      <c r="K126">
        <v>130000</v>
      </c>
      <c r="L126" s="2">
        <v>45809</v>
      </c>
    </row>
    <row r="127" spans="1:12" x14ac:dyDescent="0.25">
      <c r="A127" t="s">
        <v>160</v>
      </c>
      <c r="B127" s="1">
        <v>45820</v>
      </c>
      <c r="C127" t="s">
        <v>38</v>
      </c>
      <c r="D127" t="s">
        <v>20</v>
      </c>
      <c r="E127" t="s">
        <v>15</v>
      </c>
      <c r="F127" t="s">
        <v>16</v>
      </c>
      <c r="G127">
        <v>2</v>
      </c>
      <c r="H127" t="s">
        <v>17</v>
      </c>
      <c r="I127">
        <v>58000</v>
      </c>
      <c r="J127">
        <v>0.1</v>
      </c>
      <c r="K127">
        <v>104400</v>
      </c>
      <c r="L127" s="2">
        <v>45809</v>
      </c>
    </row>
    <row r="128" spans="1:12" x14ac:dyDescent="0.25">
      <c r="A128" t="s">
        <v>161</v>
      </c>
      <c r="B128" s="1">
        <v>45820</v>
      </c>
      <c r="C128" t="s">
        <v>42</v>
      </c>
      <c r="D128" t="s">
        <v>14</v>
      </c>
      <c r="E128" t="s">
        <v>15</v>
      </c>
      <c r="F128" t="s">
        <v>43</v>
      </c>
      <c r="G128">
        <v>4</v>
      </c>
      <c r="H128" t="s">
        <v>17</v>
      </c>
      <c r="I128">
        <v>14500</v>
      </c>
      <c r="J128">
        <v>0</v>
      </c>
      <c r="K128">
        <v>58000</v>
      </c>
      <c r="L128" s="2">
        <v>45809</v>
      </c>
    </row>
    <row r="129" spans="1:12" x14ac:dyDescent="0.25">
      <c r="A129" t="s">
        <v>162</v>
      </c>
      <c r="B129" s="1">
        <v>45820</v>
      </c>
      <c r="C129" t="s">
        <v>46</v>
      </c>
      <c r="D129" t="s">
        <v>29</v>
      </c>
      <c r="E129" t="s">
        <v>21</v>
      </c>
      <c r="F129" t="s">
        <v>26</v>
      </c>
      <c r="G129">
        <v>6</v>
      </c>
      <c r="H129" t="s">
        <v>27</v>
      </c>
      <c r="I129">
        <v>850</v>
      </c>
      <c r="J129">
        <v>0.15</v>
      </c>
      <c r="K129">
        <v>4335</v>
      </c>
      <c r="L129" s="2">
        <v>45809</v>
      </c>
    </row>
    <row r="130" spans="1:12" x14ac:dyDescent="0.25">
      <c r="A130" t="s">
        <v>163</v>
      </c>
      <c r="B130" s="1">
        <v>45821</v>
      </c>
      <c r="C130" t="s">
        <v>36</v>
      </c>
      <c r="D130" t="s">
        <v>14</v>
      </c>
      <c r="E130" t="s">
        <v>15</v>
      </c>
      <c r="F130" t="s">
        <v>30</v>
      </c>
      <c r="G130">
        <v>1</v>
      </c>
      <c r="H130" t="s">
        <v>23</v>
      </c>
      <c r="I130">
        <v>9200</v>
      </c>
      <c r="J130">
        <v>0.05</v>
      </c>
      <c r="K130">
        <v>8740</v>
      </c>
      <c r="L130" s="2">
        <v>45809</v>
      </c>
    </row>
    <row r="131" spans="1:12" x14ac:dyDescent="0.25">
      <c r="A131" t="s">
        <v>164</v>
      </c>
      <c r="B131" s="1">
        <v>45822</v>
      </c>
      <c r="C131" t="s">
        <v>19</v>
      </c>
      <c r="D131" t="s">
        <v>20</v>
      </c>
      <c r="E131" t="s">
        <v>21</v>
      </c>
      <c r="F131" t="s">
        <v>16</v>
      </c>
      <c r="G131">
        <v>5</v>
      </c>
      <c r="H131" t="s">
        <v>23</v>
      </c>
      <c r="I131">
        <v>12500</v>
      </c>
      <c r="J131">
        <v>0.05</v>
      </c>
      <c r="K131">
        <v>59375</v>
      </c>
      <c r="L131" s="2">
        <v>45809</v>
      </c>
    </row>
    <row r="132" spans="1:12" x14ac:dyDescent="0.25">
      <c r="A132" t="s">
        <v>165</v>
      </c>
      <c r="B132" s="1">
        <v>45824</v>
      </c>
      <c r="C132" t="s">
        <v>36</v>
      </c>
      <c r="D132" t="s">
        <v>20</v>
      </c>
      <c r="E132" t="s">
        <v>15</v>
      </c>
      <c r="F132" t="s">
        <v>30</v>
      </c>
      <c r="G132">
        <v>3</v>
      </c>
      <c r="H132" t="s">
        <v>23</v>
      </c>
      <c r="I132">
        <v>9200</v>
      </c>
      <c r="J132">
        <v>0.05</v>
      </c>
      <c r="K132">
        <v>26220</v>
      </c>
      <c r="L132" s="2">
        <v>45809</v>
      </c>
    </row>
    <row r="133" spans="1:12" x14ac:dyDescent="0.25">
      <c r="A133" t="s">
        <v>166</v>
      </c>
      <c r="B133" s="1">
        <v>45824</v>
      </c>
      <c r="C133" t="s">
        <v>42</v>
      </c>
      <c r="D133" t="s">
        <v>14</v>
      </c>
      <c r="E133" t="s">
        <v>15</v>
      </c>
      <c r="F133" t="s">
        <v>30</v>
      </c>
      <c r="G133">
        <v>4</v>
      </c>
      <c r="H133" t="s">
        <v>17</v>
      </c>
      <c r="I133">
        <v>14500</v>
      </c>
      <c r="J133">
        <v>0.1</v>
      </c>
      <c r="K133">
        <v>52200</v>
      </c>
      <c r="L133" s="2">
        <v>45809</v>
      </c>
    </row>
    <row r="134" spans="1:12" x14ac:dyDescent="0.25">
      <c r="A134" t="s">
        <v>167</v>
      </c>
      <c r="B134" s="1">
        <v>45824</v>
      </c>
      <c r="C134" t="s">
        <v>38</v>
      </c>
      <c r="D134" t="s">
        <v>20</v>
      </c>
      <c r="E134" t="s">
        <v>15</v>
      </c>
      <c r="F134" t="s">
        <v>30</v>
      </c>
      <c r="G134">
        <v>4</v>
      </c>
      <c r="H134" t="s">
        <v>17</v>
      </c>
      <c r="I134">
        <v>58000</v>
      </c>
      <c r="J134">
        <v>0.1</v>
      </c>
      <c r="K134">
        <v>208800</v>
      </c>
      <c r="L134" s="2">
        <v>45809</v>
      </c>
    </row>
    <row r="135" spans="1:12" x14ac:dyDescent="0.25">
      <c r="A135" t="s">
        <v>168</v>
      </c>
      <c r="B135" s="1">
        <v>45824</v>
      </c>
      <c r="C135" t="s">
        <v>46</v>
      </c>
      <c r="D135" t="s">
        <v>20</v>
      </c>
      <c r="E135" t="s">
        <v>15</v>
      </c>
      <c r="F135" t="s">
        <v>26</v>
      </c>
      <c r="G135">
        <v>1</v>
      </c>
      <c r="H135" t="s">
        <v>27</v>
      </c>
      <c r="I135">
        <v>850</v>
      </c>
      <c r="J135">
        <v>0.05</v>
      </c>
      <c r="K135">
        <v>807.5</v>
      </c>
      <c r="L135" s="2">
        <v>45809</v>
      </c>
    </row>
    <row r="136" spans="1:12" x14ac:dyDescent="0.25">
      <c r="A136" t="s">
        <v>169</v>
      </c>
      <c r="B136" s="1">
        <v>45828</v>
      </c>
      <c r="C136" t="s">
        <v>42</v>
      </c>
      <c r="D136" t="s">
        <v>14</v>
      </c>
      <c r="E136" t="s">
        <v>15</v>
      </c>
      <c r="F136" t="s">
        <v>22</v>
      </c>
      <c r="G136">
        <v>5</v>
      </c>
      <c r="H136" t="s">
        <v>17</v>
      </c>
      <c r="I136">
        <v>14500</v>
      </c>
      <c r="J136">
        <v>0.1</v>
      </c>
      <c r="K136">
        <v>65250</v>
      </c>
      <c r="L136" s="2">
        <v>45809</v>
      </c>
    </row>
    <row r="137" spans="1:12" x14ac:dyDescent="0.25">
      <c r="A137" t="s">
        <v>170</v>
      </c>
      <c r="B137" s="1">
        <v>45828</v>
      </c>
      <c r="C137" t="s">
        <v>25</v>
      </c>
      <c r="D137" t="s">
        <v>20</v>
      </c>
      <c r="E137" t="s">
        <v>15</v>
      </c>
      <c r="F137" t="s">
        <v>30</v>
      </c>
      <c r="G137">
        <v>3</v>
      </c>
      <c r="H137" t="s">
        <v>27</v>
      </c>
      <c r="I137">
        <v>2800</v>
      </c>
      <c r="J137">
        <v>0.1</v>
      </c>
      <c r="K137">
        <v>7560</v>
      </c>
      <c r="L137" s="2">
        <v>45809</v>
      </c>
    </row>
    <row r="138" spans="1:12" x14ac:dyDescent="0.25">
      <c r="A138" t="s">
        <v>171</v>
      </c>
      <c r="B138" s="1">
        <v>45831</v>
      </c>
      <c r="C138" t="s">
        <v>42</v>
      </c>
      <c r="D138" t="s">
        <v>14</v>
      </c>
      <c r="E138" t="s">
        <v>15</v>
      </c>
      <c r="F138" t="s">
        <v>43</v>
      </c>
      <c r="G138">
        <v>5</v>
      </c>
      <c r="H138" t="s">
        <v>17</v>
      </c>
      <c r="I138">
        <v>14500</v>
      </c>
      <c r="J138">
        <v>0</v>
      </c>
      <c r="K138">
        <v>72500</v>
      </c>
      <c r="L138" s="2">
        <v>45809</v>
      </c>
    </row>
    <row r="139" spans="1:12" x14ac:dyDescent="0.25">
      <c r="A139" t="s">
        <v>172</v>
      </c>
      <c r="B139" s="1">
        <v>45832</v>
      </c>
      <c r="C139" t="s">
        <v>25</v>
      </c>
      <c r="D139" t="s">
        <v>29</v>
      </c>
      <c r="E139" t="s">
        <v>21</v>
      </c>
      <c r="F139" t="s">
        <v>22</v>
      </c>
      <c r="G139">
        <v>3</v>
      </c>
      <c r="H139" t="s">
        <v>27</v>
      </c>
      <c r="I139">
        <v>2800</v>
      </c>
      <c r="J139">
        <v>0</v>
      </c>
      <c r="K139">
        <v>8400</v>
      </c>
      <c r="L139" s="2">
        <v>45809</v>
      </c>
    </row>
    <row r="140" spans="1:12" x14ac:dyDescent="0.25">
      <c r="A140" t="s">
        <v>173</v>
      </c>
      <c r="B140" s="1">
        <v>45833</v>
      </c>
      <c r="C140" t="s">
        <v>32</v>
      </c>
      <c r="D140" t="s">
        <v>20</v>
      </c>
      <c r="E140" t="s">
        <v>15</v>
      </c>
      <c r="F140" t="s">
        <v>43</v>
      </c>
      <c r="G140">
        <v>4</v>
      </c>
      <c r="H140" t="s">
        <v>27</v>
      </c>
      <c r="I140">
        <v>1900</v>
      </c>
      <c r="J140">
        <v>0</v>
      </c>
      <c r="K140">
        <v>7600</v>
      </c>
      <c r="L140" s="2">
        <v>45809</v>
      </c>
    </row>
    <row r="141" spans="1:12" x14ac:dyDescent="0.25">
      <c r="A141" t="s">
        <v>174</v>
      </c>
      <c r="B141" s="1">
        <v>45833</v>
      </c>
      <c r="C141" t="s">
        <v>46</v>
      </c>
      <c r="D141" t="s">
        <v>20</v>
      </c>
      <c r="E141" t="s">
        <v>15</v>
      </c>
      <c r="F141" t="s">
        <v>43</v>
      </c>
      <c r="G141">
        <v>2</v>
      </c>
      <c r="H141" t="s">
        <v>27</v>
      </c>
      <c r="I141">
        <v>850</v>
      </c>
      <c r="J141">
        <v>0</v>
      </c>
      <c r="K141">
        <v>1700</v>
      </c>
      <c r="L141" s="2">
        <v>45809</v>
      </c>
    </row>
    <row r="142" spans="1:12" x14ac:dyDescent="0.25">
      <c r="A142" t="s">
        <v>175</v>
      </c>
      <c r="B142" s="1">
        <v>45835</v>
      </c>
      <c r="C142" t="s">
        <v>42</v>
      </c>
      <c r="D142" t="s">
        <v>29</v>
      </c>
      <c r="E142" t="s">
        <v>21</v>
      </c>
      <c r="F142" t="s">
        <v>33</v>
      </c>
      <c r="G142">
        <v>6</v>
      </c>
      <c r="H142" t="s">
        <v>17</v>
      </c>
      <c r="I142">
        <v>14500</v>
      </c>
      <c r="J142">
        <v>0.05</v>
      </c>
      <c r="K142">
        <v>82650</v>
      </c>
      <c r="L142" s="2">
        <v>45809</v>
      </c>
    </row>
    <row r="143" spans="1:12" x14ac:dyDescent="0.25">
      <c r="A143" t="s">
        <v>176</v>
      </c>
      <c r="B143" s="1">
        <v>45835</v>
      </c>
      <c r="C143" t="s">
        <v>25</v>
      </c>
      <c r="D143" t="s">
        <v>20</v>
      </c>
      <c r="E143" t="s">
        <v>21</v>
      </c>
      <c r="F143" t="s">
        <v>22</v>
      </c>
      <c r="G143">
        <v>3</v>
      </c>
      <c r="H143" t="s">
        <v>27</v>
      </c>
      <c r="I143">
        <v>2800</v>
      </c>
      <c r="J143">
        <v>0.05</v>
      </c>
      <c r="K143">
        <v>7980</v>
      </c>
      <c r="L143" s="2">
        <v>45809</v>
      </c>
    </row>
    <row r="144" spans="1:12" x14ac:dyDescent="0.25">
      <c r="A144" t="s">
        <v>177</v>
      </c>
      <c r="B144" s="1">
        <v>45835</v>
      </c>
      <c r="C144" t="s">
        <v>25</v>
      </c>
      <c r="D144" t="s">
        <v>29</v>
      </c>
      <c r="E144" t="s">
        <v>15</v>
      </c>
      <c r="F144" t="s">
        <v>33</v>
      </c>
      <c r="G144">
        <v>6</v>
      </c>
      <c r="H144" t="s">
        <v>27</v>
      </c>
      <c r="I144">
        <v>2800</v>
      </c>
      <c r="J144">
        <v>0</v>
      </c>
      <c r="K144">
        <v>16800</v>
      </c>
      <c r="L144" s="2">
        <v>45809</v>
      </c>
    </row>
    <row r="145" spans="1:12" x14ac:dyDescent="0.25">
      <c r="A145" t="s">
        <v>178</v>
      </c>
      <c r="B145" s="1">
        <v>45836</v>
      </c>
      <c r="C145" t="s">
        <v>46</v>
      </c>
      <c r="D145" t="s">
        <v>29</v>
      </c>
      <c r="E145" t="s">
        <v>15</v>
      </c>
      <c r="F145" t="s">
        <v>26</v>
      </c>
      <c r="G145">
        <v>1</v>
      </c>
      <c r="H145" t="s">
        <v>27</v>
      </c>
      <c r="I145">
        <v>850</v>
      </c>
      <c r="J145">
        <v>0</v>
      </c>
      <c r="K145">
        <v>850</v>
      </c>
      <c r="L145" s="2">
        <v>45809</v>
      </c>
    </row>
    <row r="146" spans="1:12" x14ac:dyDescent="0.25">
      <c r="A146" t="s">
        <v>179</v>
      </c>
      <c r="B146" s="1">
        <v>45836</v>
      </c>
      <c r="C146" t="s">
        <v>25</v>
      </c>
      <c r="D146" t="s">
        <v>14</v>
      </c>
      <c r="E146" t="s">
        <v>21</v>
      </c>
      <c r="F146" t="s">
        <v>30</v>
      </c>
      <c r="G146">
        <v>2</v>
      </c>
      <c r="H146" t="s">
        <v>27</v>
      </c>
      <c r="I146">
        <v>2800</v>
      </c>
      <c r="J146">
        <v>0</v>
      </c>
      <c r="K146">
        <v>5600</v>
      </c>
      <c r="L146" s="2">
        <v>45809</v>
      </c>
    </row>
    <row r="147" spans="1:12" x14ac:dyDescent="0.25">
      <c r="A147" t="s">
        <v>180</v>
      </c>
      <c r="B147" s="1">
        <v>45836</v>
      </c>
      <c r="C147" t="s">
        <v>46</v>
      </c>
      <c r="D147" t="s">
        <v>29</v>
      </c>
      <c r="E147" t="s">
        <v>15</v>
      </c>
      <c r="F147" t="s">
        <v>26</v>
      </c>
      <c r="G147">
        <v>4</v>
      </c>
      <c r="H147" t="s">
        <v>27</v>
      </c>
      <c r="I147">
        <v>850</v>
      </c>
      <c r="J147">
        <v>0.1</v>
      </c>
      <c r="K147">
        <v>3060</v>
      </c>
      <c r="L147" s="2">
        <v>45809</v>
      </c>
    </row>
    <row r="148" spans="1:12" x14ac:dyDescent="0.25">
      <c r="A148" t="s">
        <v>181</v>
      </c>
      <c r="B148" s="1">
        <v>45840</v>
      </c>
      <c r="C148" t="s">
        <v>13</v>
      </c>
      <c r="D148" t="s">
        <v>14</v>
      </c>
      <c r="E148" t="s">
        <v>15</v>
      </c>
      <c r="F148" t="s">
        <v>22</v>
      </c>
      <c r="G148">
        <v>1</v>
      </c>
      <c r="H148" t="s">
        <v>17</v>
      </c>
      <c r="I148">
        <v>26000</v>
      </c>
      <c r="J148">
        <v>0.05</v>
      </c>
      <c r="K148">
        <v>24700</v>
      </c>
      <c r="L148" s="2">
        <v>45839</v>
      </c>
    </row>
    <row r="149" spans="1:12" x14ac:dyDescent="0.25">
      <c r="A149" t="s">
        <v>182</v>
      </c>
      <c r="B149" s="1">
        <v>45840</v>
      </c>
      <c r="C149" t="s">
        <v>32</v>
      </c>
      <c r="D149" t="s">
        <v>47</v>
      </c>
      <c r="E149" t="s">
        <v>15</v>
      </c>
      <c r="F149" t="s">
        <v>43</v>
      </c>
      <c r="G149">
        <v>6</v>
      </c>
      <c r="H149" t="s">
        <v>27</v>
      </c>
      <c r="I149">
        <v>1900</v>
      </c>
      <c r="J149">
        <v>0.1</v>
      </c>
      <c r="K149">
        <v>10260</v>
      </c>
      <c r="L149" s="2">
        <v>45839</v>
      </c>
    </row>
    <row r="150" spans="1:12" x14ac:dyDescent="0.25">
      <c r="A150" t="s">
        <v>183</v>
      </c>
      <c r="B150" s="1">
        <v>45841</v>
      </c>
      <c r="C150" t="s">
        <v>36</v>
      </c>
      <c r="D150" t="s">
        <v>29</v>
      </c>
      <c r="E150" t="s">
        <v>15</v>
      </c>
      <c r="F150" t="s">
        <v>43</v>
      </c>
      <c r="G150">
        <v>4</v>
      </c>
      <c r="H150" t="s">
        <v>23</v>
      </c>
      <c r="I150">
        <v>9200</v>
      </c>
      <c r="J150">
        <v>0.05</v>
      </c>
      <c r="K150">
        <v>34960</v>
      </c>
      <c r="L150" s="2">
        <v>45839</v>
      </c>
    </row>
    <row r="151" spans="1:12" x14ac:dyDescent="0.25">
      <c r="A151" t="s">
        <v>184</v>
      </c>
      <c r="B151" s="1">
        <v>45842</v>
      </c>
      <c r="C151" t="s">
        <v>36</v>
      </c>
      <c r="D151" t="s">
        <v>29</v>
      </c>
      <c r="E151" t="s">
        <v>21</v>
      </c>
      <c r="F151" t="s">
        <v>33</v>
      </c>
      <c r="G151">
        <v>1</v>
      </c>
      <c r="H151" t="s">
        <v>23</v>
      </c>
      <c r="I151">
        <v>9200</v>
      </c>
      <c r="J151">
        <v>0.1</v>
      </c>
      <c r="K151">
        <v>8280</v>
      </c>
      <c r="L151" s="2">
        <v>45839</v>
      </c>
    </row>
    <row r="152" spans="1:12" x14ac:dyDescent="0.25">
      <c r="A152" t="s">
        <v>185</v>
      </c>
      <c r="B152" s="1">
        <v>45843</v>
      </c>
      <c r="C152" t="s">
        <v>36</v>
      </c>
      <c r="D152" t="s">
        <v>29</v>
      </c>
      <c r="E152" t="s">
        <v>21</v>
      </c>
      <c r="F152" t="s">
        <v>33</v>
      </c>
      <c r="G152">
        <v>4</v>
      </c>
      <c r="H152" t="s">
        <v>23</v>
      </c>
      <c r="I152">
        <v>9200</v>
      </c>
      <c r="J152">
        <v>0.15</v>
      </c>
      <c r="K152">
        <v>31280</v>
      </c>
      <c r="L152" s="2">
        <v>45839</v>
      </c>
    </row>
    <row r="153" spans="1:12" x14ac:dyDescent="0.25">
      <c r="A153" t="s">
        <v>186</v>
      </c>
      <c r="B153" s="1">
        <v>45844</v>
      </c>
      <c r="C153" t="s">
        <v>42</v>
      </c>
      <c r="D153" t="s">
        <v>20</v>
      </c>
      <c r="E153" t="s">
        <v>15</v>
      </c>
      <c r="F153" t="s">
        <v>30</v>
      </c>
      <c r="G153">
        <v>3</v>
      </c>
      <c r="H153" t="s">
        <v>17</v>
      </c>
      <c r="I153">
        <v>14500</v>
      </c>
      <c r="J153">
        <v>0.1</v>
      </c>
      <c r="K153">
        <v>39150</v>
      </c>
      <c r="L153" s="2">
        <v>45839</v>
      </c>
    </row>
    <row r="154" spans="1:12" x14ac:dyDescent="0.25">
      <c r="A154" t="s">
        <v>187</v>
      </c>
      <c r="B154" s="1">
        <v>45844</v>
      </c>
      <c r="C154" t="s">
        <v>13</v>
      </c>
      <c r="D154" t="s">
        <v>14</v>
      </c>
      <c r="E154" t="s">
        <v>15</v>
      </c>
      <c r="F154" t="s">
        <v>43</v>
      </c>
      <c r="G154">
        <v>2</v>
      </c>
      <c r="H154" t="s">
        <v>17</v>
      </c>
      <c r="I154">
        <v>26000</v>
      </c>
      <c r="J154">
        <v>0.15</v>
      </c>
      <c r="K154">
        <v>44200</v>
      </c>
      <c r="L154" s="2">
        <v>45839</v>
      </c>
    </row>
    <row r="155" spans="1:12" x14ac:dyDescent="0.25">
      <c r="A155" t="s">
        <v>188</v>
      </c>
      <c r="B155" s="1">
        <v>45845</v>
      </c>
      <c r="C155" t="s">
        <v>46</v>
      </c>
      <c r="D155" t="s">
        <v>47</v>
      </c>
      <c r="E155" t="s">
        <v>15</v>
      </c>
      <c r="F155" t="s">
        <v>22</v>
      </c>
      <c r="G155">
        <v>4</v>
      </c>
      <c r="H155" t="s">
        <v>27</v>
      </c>
      <c r="I155">
        <v>850</v>
      </c>
      <c r="J155">
        <v>0.05</v>
      </c>
      <c r="K155">
        <v>3230</v>
      </c>
      <c r="L155" s="2">
        <v>45839</v>
      </c>
    </row>
    <row r="156" spans="1:12" x14ac:dyDescent="0.25">
      <c r="A156" t="s">
        <v>189</v>
      </c>
      <c r="B156" s="1">
        <v>45852</v>
      </c>
      <c r="C156" t="s">
        <v>38</v>
      </c>
      <c r="D156" t="s">
        <v>20</v>
      </c>
      <c r="E156" t="s">
        <v>21</v>
      </c>
      <c r="F156" t="s">
        <v>22</v>
      </c>
      <c r="G156">
        <v>3</v>
      </c>
      <c r="H156" t="s">
        <v>17</v>
      </c>
      <c r="I156">
        <v>58000</v>
      </c>
      <c r="J156">
        <v>0.1</v>
      </c>
      <c r="K156">
        <v>156600</v>
      </c>
      <c r="L156" s="2">
        <v>45839</v>
      </c>
    </row>
    <row r="157" spans="1:12" x14ac:dyDescent="0.25">
      <c r="A157" t="s">
        <v>190</v>
      </c>
      <c r="B157" s="1">
        <v>45853</v>
      </c>
      <c r="C157" t="s">
        <v>38</v>
      </c>
      <c r="D157" t="s">
        <v>20</v>
      </c>
      <c r="E157" t="s">
        <v>15</v>
      </c>
      <c r="F157" t="s">
        <v>33</v>
      </c>
      <c r="G157">
        <v>1</v>
      </c>
      <c r="H157" t="s">
        <v>17</v>
      </c>
      <c r="I157">
        <v>58000</v>
      </c>
      <c r="J157">
        <v>0.05</v>
      </c>
      <c r="K157">
        <v>55100</v>
      </c>
      <c r="L157" s="2">
        <v>45839</v>
      </c>
    </row>
    <row r="158" spans="1:12" x14ac:dyDescent="0.25">
      <c r="A158" t="s">
        <v>191</v>
      </c>
      <c r="B158" s="1">
        <v>45853</v>
      </c>
      <c r="C158" t="s">
        <v>19</v>
      </c>
      <c r="D158" t="s">
        <v>20</v>
      </c>
      <c r="E158" t="s">
        <v>15</v>
      </c>
      <c r="F158" t="s">
        <v>26</v>
      </c>
      <c r="G158">
        <v>1</v>
      </c>
      <c r="H158" t="s">
        <v>23</v>
      </c>
      <c r="I158">
        <v>12500</v>
      </c>
      <c r="J158">
        <v>0.05</v>
      </c>
      <c r="K158">
        <v>11875</v>
      </c>
      <c r="L158" s="2">
        <v>45839</v>
      </c>
    </row>
    <row r="159" spans="1:12" x14ac:dyDescent="0.25">
      <c r="A159" t="s">
        <v>192</v>
      </c>
      <c r="B159" s="1">
        <v>45855</v>
      </c>
      <c r="C159" t="s">
        <v>38</v>
      </c>
      <c r="D159" t="s">
        <v>47</v>
      </c>
      <c r="E159" t="s">
        <v>15</v>
      </c>
      <c r="F159" t="s">
        <v>33</v>
      </c>
      <c r="G159">
        <v>6</v>
      </c>
      <c r="H159" t="s">
        <v>17</v>
      </c>
      <c r="I159">
        <v>58000</v>
      </c>
      <c r="J159">
        <v>0.05</v>
      </c>
      <c r="K159">
        <v>330600</v>
      </c>
      <c r="L159" s="2">
        <v>45839</v>
      </c>
    </row>
    <row r="160" spans="1:12" x14ac:dyDescent="0.25">
      <c r="A160" t="s">
        <v>193</v>
      </c>
      <c r="B160" s="1">
        <v>45856</v>
      </c>
      <c r="C160" t="s">
        <v>13</v>
      </c>
      <c r="D160" t="s">
        <v>47</v>
      </c>
      <c r="E160" t="s">
        <v>15</v>
      </c>
      <c r="F160" t="s">
        <v>26</v>
      </c>
      <c r="G160">
        <v>1</v>
      </c>
      <c r="H160" t="s">
        <v>17</v>
      </c>
      <c r="I160">
        <v>26000</v>
      </c>
      <c r="J160">
        <v>0.1</v>
      </c>
      <c r="K160">
        <v>23400</v>
      </c>
      <c r="L160" s="2">
        <v>45839</v>
      </c>
    </row>
    <row r="161" spans="1:12" x14ac:dyDescent="0.25">
      <c r="A161" t="s">
        <v>194</v>
      </c>
      <c r="B161" s="1">
        <v>45864</v>
      </c>
      <c r="C161" t="s">
        <v>32</v>
      </c>
      <c r="D161" t="s">
        <v>29</v>
      </c>
      <c r="E161" t="s">
        <v>15</v>
      </c>
      <c r="F161" t="s">
        <v>43</v>
      </c>
      <c r="G161">
        <v>3</v>
      </c>
      <c r="H161" t="s">
        <v>27</v>
      </c>
      <c r="I161">
        <v>1900</v>
      </c>
      <c r="J161">
        <v>0</v>
      </c>
      <c r="K161">
        <v>5700</v>
      </c>
      <c r="L161" s="2">
        <v>45839</v>
      </c>
    </row>
    <row r="162" spans="1:12" x14ac:dyDescent="0.25">
      <c r="A162" t="s">
        <v>195</v>
      </c>
      <c r="B162" s="1">
        <v>45864</v>
      </c>
      <c r="C162" t="s">
        <v>46</v>
      </c>
      <c r="D162" t="s">
        <v>20</v>
      </c>
      <c r="E162" t="s">
        <v>21</v>
      </c>
      <c r="F162" t="s">
        <v>43</v>
      </c>
      <c r="G162">
        <v>2</v>
      </c>
      <c r="H162" t="s">
        <v>27</v>
      </c>
      <c r="I162">
        <v>850</v>
      </c>
      <c r="J162">
        <v>0</v>
      </c>
      <c r="K162">
        <v>1700</v>
      </c>
      <c r="L162" s="2">
        <v>45839</v>
      </c>
    </row>
    <row r="163" spans="1:12" x14ac:dyDescent="0.25">
      <c r="A163" t="s">
        <v>196</v>
      </c>
      <c r="B163" s="1">
        <v>45866</v>
      </c>
      <c r="C163" t="s">
        <v>13</v>
      </c>
      <c r="D163" t="s">
        <v>14</v>
      </c>
      <c r="E163" t="s">
        <v>15</v>
      </c>
      <c r="F163" t="s">
        <v>43</v>
      </c>
      <c r="G163">
        <v>4</v>
      </c>
      <c r="H163" t="s">
        <v>17</v>
      </c>
      <c r="I163">
        <v>26000</v>
      </c>
      <c r="J163">
        <v>0.15</v>
      </c>
      <c r="K163">
        <v>88400</v>
      </c>
      <c r="L163" s="2">
        <v>45839</v>
      </c>
    </row>
    <row r="164" spans="1:12" x14ac:dyDescent="0.25">
      <c r="A164" t="s">
        <v>197</v>
      </c>
      <c r="B164" s="1">
        <v>45870</v>
      </c>
      <c r="C164" t="s">
        <v>25</v>
      </c>
      <c r="D164" t="s">
        <v>47</v>
      </c>
      <c r="E164" t="s">
        <v>21</v>
      </c>
      <c r="F164" t="s">
        <v>30</v>
      </c>
      <c r="G164">
        <v>5</v>
      </c>
      <c r="H164" t="s">
        <v>27</v>
      </c>
      <c r="I164">
        <v>2800</v>
      </c>
      <c r="J164">
        <v>0.05</v>
      </c>
      <c r="K164">
        <v>13300</v>
      </c>
      <c r="L164" s="2">
        <v>45870</v>
      </c>
    </row>
    <row r="165" spans="1:12" x14ac:dyDescent="0.25">
      <c r="A165" t="s">
        <v>198</v>
      </c>
      <c r="B165" s="1">
        <v>45873</v>
      </c>
      <c r="C165" t="s">
        <v>32</v>
      </c>
      <c r="D165" t="s">
        <v>20</v>
      </c>
      <c r="E165" t="s">
        <v>21</v>
      </c>
      <c r="F165" t="s">
        <v>16</v>
      </c>
      <c r="G165">
        <v>4</v>
      </c>
      <c r="H165" t="s">
        <v>27</v>
      </c>
      <c r="I165">
        <v>1900</v>
      </c>
      <c r="J165">
        <v>0.05</v>
      </c>
      <c r="K165">
        <v>7220</v>
      </c>
      <c r="L165" s="2">
        <v>45870</v>
      </c>
    </row>
    <row r="166" spans="1:12" x14ac:dyDescent="0.25">
      <c r="A166" t="s">
        <v>199</v>
      </c>
      <c r="B166" s="1">
        <v>45876</v>
      </c>
      <c r="C166" t="s">
        <v>19</v>
      </c>
      <c r="D166" t="s">
        <v>14</v>
      </c>
      <c r="E166" t="s">
        <v>21</v>
      </c>
      <c r="F166" t="s">
        <v>43</v>
      </c>
      <c r="G166">
        <v>1</v>
      </c>
      <c r="H166" t="s">
        <v>23</v>
      </c>
      <c r="I166">
        <v>12500</v>
      </c>
      <c r="J166">
        <v>0</v>
      </c>
      <c r="K166">
        <v>12500</v>
      </c>
      <c r="L166" s="2">
        <v>45870</v>
      </c>
    </row>
    <row r="167" spans="1:12" x14ac:dyDescent="0.25">
      <c r="A167" t="s">
        <v>200</v>
      </c>
      <c r="B167" s="1">
        <v>45877</v>
      </c>
      <c r="C167" t="s">
        <v>25</v>
      </c>
      <c r="D167" t="s">
        <v>47</v>
      </c>
      <c r="E167" t="s">
        <v>15</v>
      </c>
      <c r="F167" t="s">
        <v>16</v>
      </c>
      <c r="G167">
        <v>4</v>
      </c>
      <c r="H167" t="s">
        <v>27</v>
      </c>
      <c r="I167">
        <v>2800</v>
      </c>
      <c r="J167">
        <v>0</v>
      </c>
      <c r="K167">
        <v>11200</v>
      </c>
      <c r="L167" s="2">
        <v>45870</v>
      </c>
    </row>
    <row r="168" spans="1:12" x14ac:dyDescent="0.25">
      <c r="A168" t="s">
        <v>201</v>
      </c>
      <c r="B168" s="1">
        <v>45878</v>
      </c>
      <c r="C168" t="s">
        <v>13</v>
      </c>
      <c r="D168" t="s">
        <v>47</v>
      </c>
      <c r="E168" t="s">
        <v>15</v>
      </c>
      <c r="F168" t="s">
        <v>33</v>
      </c>
      <c r="G168">
        <v>4</v>
      </c>
      <c r="H168" t="s">
        <v>17</v>
      </c>
      <c r="I168">
        <v>26000</v>
      </c>
      <c r="J168">
        <v>0.1</v>
      </c>
      <c r="K168">
        <v>93600</v>
      </c>
      <c r="L168" s="2">
        <v>45870</v>
      </c>
    </row>
    <row r="169" spans="1:12" x14ac:dyDescent="0.25">
      <c r="A169" t="s">
        <v>202</v>
      </c>
      <c r="B169" s="1">
        <v>45879</v>
      </c>
      <c r="C169" t="s">
        <v>38</v>
      </c>
      <c r="D169" t="s">
        <v>20</v>
      </c>
      <c r="E169" t="s">
        <v>21</v>
      </c>
      <c r="F169" t="s">
        <v>22</v>
      </c>
      <c r="G169">
        <v>5</v>
      </c>
      <c r="H169" t="s">
        <v>17</v>
      </c>
      <c r="I169">
        <v>58000</v>
      </c>
      <c r="J169">
        <v>0.1</v>
      </c>
      <c r="K169">
        <v>261000</v>
      </c>
      <c r="L169" s="2">
        <v>45870</v>
      </c>
    </row>
    <row r="170" spans="1:12" x14ac:dyDescent="0.25">
      <c r="A170" t="s">
        <v>203</v>
      </c>
      <c r="B170" s="1">
        <v>45880</v>
      </c>
      <c r="C170" t="s">
        <v>32</v>
      </c>
      <c r="D170" t="s">
        <v>14</v>
      </c>
      <c r="E170" t="s">
        <v>15</v>
      </c>
      <c r="F170" t="s">
        <v>26</v>
      </c>
      <c r="G170">
        <v>6</v>
      </c>
      <c r="H170" t="s">
        <v>27</v>
      </c>
      <c r="I170">
        <v>1900</v>
      </c>
      <c r="J170">
        <v>0.05</v>
      </c>
      <c r="K170">
        <v>10830</v>
      </c>
      <c r="L170" s="2">
        <v>45870</v>
      </c>
    </row>
    <row r="171" spans="1:12" x14ac:dyDescent="0.25">
      <c r="A171" t="s">
        <v>204</v>
      </c>
      <c r="B171" s="1">
        <v>45882</v>
      </c>
      <c r="C171" t="s">
        <v>36</v>
      </c>
      <c r="D171" t="s">
        <v>20</v>
      </c>
      <c r="E171" t="s">
        <v>15</v>
      </c>
      <c r="F171" t="s">
        <v>22</v>
      </c>
      <c r="G171">
        <v>6</v>
      </c>
      <c r="H171" t="s">
        <v>23</v>
      </c>
      <c r="I171">
        <v>9200</v>
      </c>
      <c r="J171">
        <v>0.1</v>
      </c>
      <c r="K171">
        <v>49680</v>
      </c>
      <c r="L171" s="2">
        <v>45870</v>
      </c>
    </row>
    <row r="172" spans="1:12" x14ac:dyDescent="0.25">
      <c r="A172" t="s">
        <v>205</v>
      </c>
      <c r="B172" s="1">
        <v>45883</v>
      </c>
      <c r="C172" t="s">
        <v>36</v>
      </c>
      <c r="D172" t="s">
        <v>20</v>
      </c>
      <c r="E172" t="s">
        <v>21</v>
      </c>
      <c r="F172" t="s">
        <v>16</v>
      </c>
      <c r="G172">
        <v>5</v>
      </c>
      <c r="H172" t="s">
        <v>23</v>
      </c>
      <c r="I172">
        <v>9200</v>
      </c>
      <c r="J172">
        <v>0.05</v>
      </c>
      <c r="K172">
        <v>43700</v>
      </c>
      <c r="L172" s="2">
        <v>45870</v>
      </c>
    </row>
    <row r="173" spans="1:12" x14ac:dyDescent="0.25">
      <c r="A173" t="s">
        <v>206</v>
      </c>
      <c r="B173" s="1">
        <v>45886</v>
      </c>
      <c r="C173" t="s">
        <v>19</v>
      </c>
      <c r="D173" t="s">
        <v>47</v>
      </c>
      <c r="E173" t="s">
        <v>15</v>
      </c>
      <c r="F173" t="s">
        <v>22</v>
      </c>
      <c r="G173">
        <v>6</v>
      </c>
      <c r="H173" t="s">
        <v>23</v>
      </c>
      <c r="I173">
        <v>12500</v>
      </c>
      <c r="J173">
        <v>0.05</v>
      </c>
      <c r="K173">
        <v>71250</v>
      </c>
      <c r="L173" s="2">
        <v>45870</v>
      </c>
    </row>
    <row r="174" spans="1:12" x14ac:dyDescent="0.25">
      <c r="A174" t="s">
        <v>207</v>
      </c>
      <c r="B174" s="1">
        <v>45887</v>
      </c>
      <c r="C174" t="s">
        <v>46</v>
      </c>
      <c r="D174" t="s">
        <v>20</v>
      </c>
      <c r="E174" t="s">
        <v>21</v>
      </c>
      <c r="F174" t="s">
        <v>22</v>
      </c>
      <c r="G174">
        <v>5</v>
      </c>
      <c r="H174" t="s">
        <v>27</v>
      </c>
      <c r="I174">
        <v>850</v>
      </c>
      <c r="J174">
        <v>0.1</v>
      </c>
      <c r="K174">
        <v>3825</v>
      </c>
      <c r="L174" s="2">
        <v>45870</v>
      </c>
    </row>
    <row r="175" spans="1:12" x14ac:dyDescent="0.25">
      <c r="A175" t="s">
        <v>208</v>
      </c>
      <c r="B175" s="1">
        <v>45888</v>
      </c>
      <c r="C175" t="s">
        <v>38</v>
      </c>
      <c r="D175" t="s">
        <v>29</v>
      </c>
      <c r="E175" t="s">
        <v>15</v>
      </c>
      <c r="F175" t="s">
        <v>30</v>
      </c>
      <c r="G175">
        <v>1</v>
      </c>
      <c r="H175" t="s">
        <v>17</v>
      </c>
      <c r="I175">
        <v>58000</v>
      </c>
      <c r="J175">
        <v>0.05</v>
      </c>
      <c r="K175">
        <v>55100</v>
      </c>
      <c r="L175" s="2">
        <v>45870</v>
      </c>
    </row>
    <row r="176" spans="1:12" x14ac:dyDescent="0.25">
      <c r="A176" t="s">
        <v>209</v>
      </c>
      <c r="B176" s="1">
        <v>45889</v>
      </c>
      <c r="C176" t="s">
        <v>46</v>
      </c>
      <c r="D176" t="s">
        <v>47</v>
      </c>
      <c r="E176" t="s">
        <v>21</v>
      </c>
      <c r="F176" t="s">
        <v>33</v>
      </c>
      <c r="G176">
        <v>3</v>
      </c>
      <c r="H176" t="s">
        <v>27</v>
      </c>
      <c r="I176">
        <v>850</v>
      </c>
      <c r="J176">
        <v>0.05</v>
      </c>
      <c r="K176">
        <v>2422.5</v>
      </c>
      <c r="L176" s="2">
        <v>45870</v>
      </c>
    </row>
    <row r="177" spans="1:12" x14ac:dyDescent="0.25">
      <c r="A177" t="s">
        <v>210</v>
      </c>
      <c r="B177" s="1">
        <v>45891</v>
      </c>
      <c r="C177" t="s">
        <v>19</v>
      </c>
      <c r="D177" t="s">
        <v>29</v>
      </c>
      <c r="E177" t="s">
        <v>21</v>
      </c>
      <c r="F177" t="s">
        <v>22</v>
      </c>
      <c r="G177">
        <v>1</v>
      </c>
      <c r="H177" t="s">
        <v>23</v>
      </c>
      <c r="I177">
        <v>12500</v>
      </c>
      <c r="J177">
        <v>0.05</v>
      </c>
      <c r="K177">
        <v>11875</v>
      </c>
      <c r="L177" s="2">
        <v>45870</v>
      </c>
    </row>
    <row r="178" spans="1:12" x14ac:dyDescent="0.25">
      <c r="A178" t="s">
        <v>211</v>
      </c>
      <c r="B178" s="1">
        <v>45892</v>
      </c>
      <c r="C178" t="s">
        <v>36</v>
      </c>
      <c r="D178" t="s">
        <v>29</v>
      </c>
      <c r="E178" t="s">
        <v>15</v>
      </c>
      <c r="F178" t="s">
        <v>33</v>
      </c>
      <c r="G178">
        <v>6</v>
      </c>
      <c r="H178" t="s">
        <v>23</v>
      </c>
      <c r="I178">
        <v>9200</v>
      </c>
      <c r="J178">
        <v>0.05</v>
      </c>
      <c r="K178">
        <v>52440</v>
      </c>
      <c r="L178" s="2">
        <v>45870</v>
      </c>
    </row>
    <row r="179" spans="1:12" x14ac:dyDescent="0.25">
      <c r="A179" t="s">
        <v>212</v>
      </c>
      <c r="B179" s="1">
        <v>45895</v>
      </c>
      <c r="C179" t="s">
        <v>36</v>
      </c>
      <c r="D179" t="s">
        <v>47</v>
      </c>
      <c r="E179" t="s">
        <v>21</v>
      </c>
      <c r="F179" t="s">
        <v>43</v>
      </c>
      <c r="G179">
        <v>5</v>
      </c>
      <c r="H179" t="s">
        <v>23</v>
      </c>
      <c r="I179">
        <v>9200</v>
      </c>
      <c r="J179">
        <v>0.15</v>
      </c>
      <c r="K179">
        <v>39100</v>
      </c>
      <c r="L179" s="2">
        <v>45870</v>
      </c>
    </row>
    <row r="180" spans="1:12" x14ac:dyDescent="0.25">
      <c r="A180" t="s">
        <v>213</v>
      </c>
      <c r="B180" s="1">
        <v>45895</v>
      </c>
      <c r="C180" t="s">
        <v>38</v>
      </c>
      <c r="D180" t="s">
        <v>14</v>
      </c>
      <c r="E180" t="s">
        <v>21</v>
      </c>
      <c r="F180" t="s">
        <v>16</v>
      </c>
      <c r="G180">
        <v>6</v>
      </c>
      <c r="H180" t="s">
        <v>17</v>
      </c>
      <c r="I180">
        <v>58000</v>
      </c>
      <c r="J180">
        <v>0.05</v>
      </c>
      <c r="K180">
        <v>330600</v>
      </c>
      <c r="L180" s="2">
        <v>45870</v>
      </c>
    </row>
    <row r="181" spans="1:12" x14ac:dyDescent="0.25">
      <c r="A181" t="s">
        <v>214</v>
      </c>
      <c r="B181" s="1">
        <v>45898</v>
      </c>
      <c r="C181" t="s">
        <v>42</v>
      </c>
      <c r="D181" t="s">
        <v>14</v>
      </c>
      <c r="E181" t="s">
        <v>15</v>
      </c>
      <c r="F181" t="s">
        <v>22</v>
      </c>
      <c r="G181">
        <v>5</v>
      </c>
      <c r="H181" t="s">
        <v>17</v>
      </c>
      <c r="I181">
        <v>14500</v>
      </c>
      <c r="J181">
        <v>0.05</v>
      </c>
      <c r="K181">
        <v>68875</v>
      </c>
      <c r="L181" s="2">
        <v>45870</v>
      </c>
    </row>
    <row r="182" spans="1:12" x14ac:dyDescent="0.25">
      <c r="A182" t="s">
        <v>215</v>
      </c>
      <c r="B182" s="1">
        <v>45899</v>
      </c>
      <c r="C182" t="s">
        <v>46</v>
      </c>
      <c r="D182" t="s">
        <v>47</v>
      </c>
      <c r="E182" t="s">
        <v>15</v>
      </c>
      <c r="F182" t="s">
        <v>30</v>
      </c>
      <c r="G182">
        <v>3</v>
      </c>
      <c r="H182" t="s">
        <v>27</v>
      </c>
      <c r="I182">
        <v>850</v>
      </c>
      <c r="J182">
        <v>0.15</v>
      </c>
      <c r="K182">
        <v>2167.5</v>
      </c>
      <c r="L182" s="2">
        <v>45870</v>
      </c>
    </row>
    <row r="183" spans="1:12" x14ac:dyDescent="0.25">
      <c r="A183" t="s">
        <v>216</v>
      </c>
      <c r="B183" s="1">
        <v>45899</v>
      </c>
      <c r="C183" t="s">
        <v>32</v>
      </c>
      <c r="D183" t="s">
        <v>20</v>
      </c>
      <c r="E183" t="s">
        <v>21</v>
      </c>
      <c r="F183" t="s">
        <v>16</v>
      </c>
      <c r="G183">
        <v>2</v>
      </c>
      <c r="H183" t="s">
        <v>27</v>
      </c>
      <c r="I183">
        <v>1900</v>
      </c>
      <c r="J183">
        <v>0</v>
      </c>
      <c r="K183">
        <v>3800</v>
      </c>
      <c r="L183" s="2">
        <v>45870</v>
      </c>
    </row>
    <row r="184" spans="1:12" x14ac:dyDescent="0.25">
      <c r="A184" t="s">
        <v>217</v>
      </c>
      <c r="B184" s="1">
        <v>45901</v>
      </c>
      <c r="C184" t="s">
        <v>19</v>
      </c>
      <c r="D184" t="s">
        <v>47</v>
      </c>
      <c r="E184" t="s">
        <v>15</v>
      </c>
      <c r="F184" t="s">
        <v>33</v>
      </c>
      <c r="G184">
        <v>6</v>
      </c>
      <c r="H184" t="s">
        <v>23</v>
      </c>
      <c r="I184">
        <v>12500</v>
      </c>
      <c r="J184">
        <v>0.05</v>
      </c>
      <c r="K184">
        <v>71250</v>
      </c>
      <c r="L184" s="2">
        <v>45901</v>
      </c>
    </row>
    <row r="185" spans="1:12" x14ac:dyDescent="0.25">
      <c r="A185" t="s">
        <v>218</v>
      </c>
      <c r="B185" s="1">
        <v>45902</v>
      </c>
      <c r="C185" t="s">
        <v>19</v>
      </c>
      <c r="D185" t="s">
        <v>47</v>
      </c>
      <c r="E185" t="s">
        <v>15</v>
      </c>
      <c r="F185" t="s">
        <v>33</v>
      </c>
      <c r="G185">
        <v>4</v>
      </c>
      <c r="H185" t="s">
        <v>23</v>
      </c>
      <c r="I185">
        <v>12500</v>
      </c>
      <c r="J185">
        <v>0.05</v>
      </c>
      <c r="K185">
        <v>47500</v>
      </c>
      <c r="L185" s="2">
        <v>45901</v>
      </c>
    </row>
    <row r="186" spans="1:12" x14ac:dyDescent="0.25">
      <c r="A186" t="s">
        <v>219</v>
      </c>
      <c r="B186" s="1">
        <v>45903</v>
      </c>
      <c r="C186" t="s">
        <v>36</v>
      </c>
      <c r="D186" t="s">
        <v>47</v>
      </c>
      <c r="E186" t="s">
        <v>21</v>
      </c>
      <c r="F186" t="s">
        <v>33</v>
      </c>
      <c r="G186">
        <v>3</v>
      </c>
      <c r="H186" t="s">
        <v>23</v>
      </c>
      <c r="I186">
        <v>9200</v>
      </c>
      <c r="J186">
        <v>0.1</v>
      </c>
      <c r="K186">
        <v>24840</v>
      </c>
      <c r="L186" s="2">
        <v>45901</v>
      </c>
    </row>
    <row r="187" spans="1:12" x14ac:dyDescent="0.25">
      <c r="A187" t="s">
        <v>220</v>
      </c>
      <c r="B187" s="1">
        <v>45904</v>
      </c>
      <c r="C187" t="s">
        <v>36</v>
      </c>
      <c r="D187" t="s">
        <v>14</v>
      </c>
      <c r="E187" t="s">
        <v>21</v>
      </c>
      <c r="F187" t="s">
        <v>43</v>
      </c>
      <c r="G187">
        <v>4</v>
      </c>
      <c r="H187" t="s">
        <v>23</v>
      </c>
      <c r="I187">
        <v>9200</v>
      </c>
      <c r="J187">
        <v>0.05</v>
      </c>
      <c r="K187">
        <v>34960</v>
      </c>
      <c r="L187" s="2">
        <v>45901</v>
      </c>
    </row>
    <row r="188" spans="1:12" x14ac:dyDescent="0.25">
      <c r="A188" t="s">
        <v>221</v>
      </c>
      <c r="B188" s="1">
        <v>45907</v>
      </c>
      <c r="C188" t="s">
        <v>32</v>
      </c>
      <c r="D188" t="s">
        <v>20</v>
      </c>
      <c r="E188" t="s">
        <v>15</v>
      </c>
      <c r="F188" t="s">
        <v>33</v>
      </c>
      <c r="G188">
        <v>6</v>
      </c>
      <c r="H188" t="s">
        <v>27</v>
      </c>
      <c r="I188">
        <v>1900</v>
      </c>
      <c r="J188">
        <v>0.1</v>
      </c>
      <c r="K188">
        <v>10260</v>
      </c>
      <c r="L188" s="2">
        <v>45901</v>
      </c>
    </row>
    <row r="189" spans="1:12" x14ac:dyDescent="0.25">
      <c r="A189" t="s">
        <v>222</v>
      </c>
      <c r="B189" s="1">
        <v>45909</v>
      </c>
      <c r="C189" t="s">
        <v>19</v>
      </c>
      <c r="D189" t="s">
        <v>14</v>
      </c>
      <c r="E189" t="s">
        <v>21</v>
      </c>
      <c r="F189" t="s">
        <v>30</v>
      </c>
      <c r="G189">
        <v>5</v>
      </c>
      <c r="H189" t="s">
        <v>23</v>
      </c>
      <c r="I189">
        <v>12500</v>
      </c>
      <c r="J189">
        <v>0.05</v>
      </c>
      <c r="K189">
        <v>59375</v>
      </c>
      <c r="L189" s="2">
        <v>45901</v>
      </c>
    </row>
    <row r="190" spans="1:12" x14ac:dyDescent="0.25">
      <c r="A190" t="s">
        <v>223</v>
      </c>
      <c r="B190" s="1">
        <v>45910</v>
      </c>
      <c r="C190" t="s">
        <v>19</v>
      </c>
      <c r="D190" t="s">
        <v>47</v>
      </c>
      <c r="E190" t="s">
        <v>15</v>
      </c>
      <c r="F190" t="s">
        <v>43</v>
      </c>
      <c r="G190">
        <v>3</v>
      </c>
      <c r="H190" t="s">
        <v>23</v>
      </c>
      <c r="I190">
        <v>12500</v>
      </c>
      <c r="J190">
        <v>0.1</v>
      </c>
      <c r="K190">
        <v>33750</v>
      </c>
      <c r="L190" s="2">
        <v>45901</v>
      </c>
    </row>
    <row r="191" spans="1:12" x14ac:dyDescent="0.25">
      <c r="A191" t="s">
        <v>224</v>
      </c>
      <c r="B191" s="1">
        <v>45911</v>
      </c>
      <c r="C191" t="s">
        <v>42</v>
      </c>
      <c r="D191" t="s">
        <v>20</v>
      </c>
      <c r="E191" t="s">
        <v>15</v>
      </c>
      <c r="F191" t="s">
        <v>33</v>
      </c>
      <c r="G191">
        <v>5</v>
      </c>
      <c r="H191" t="s">
        <v>17</v>
      </c>
      <c r="I191">
        <v>14500</v>
      </c>
      <c r="J191">
        <v>0.05</v>
      </c>
      <c r="K191">
        <v>68875</v>
      </c>
      <c r="L191" s="2">
        <v>45901</v>
      </c>
    </row>
    <row r="192" spans="1:12" x14ac:dyDescent="0.25">
      <c r="A192" t="s">
        <v>225</v>
      </c>
      <c r="B192" s="1">
        <v>45913</v>
      </c>
      <c r="C192" t="s">
        <v>36</v>
      </c>
      <c r="D192" t="s">
        <v>14</v>
      </c>
      <c r="E192" t="s">
        <v>15</v>
      </c>
      <c r="F192" t="s">
        <v>43</v>
      </c>
      <c r="G192">
        <v>5</v>
      </c>
      <c r="H192" t="s">
        <v>23</v>
      </c>
      <c r="I192">
        <v>9200</v>
      </c>
      <c r="J192">
        <v>0.05</v>
      </c>
      <c r="K192">
        <v>43700</v>
      </c>
      <c r="L192" s="2">
        <v>45901</v>
      </c>
    </row>
    <row r="193" spans="1:12" x14ac:dyDescent="0.25">
      <c r="A193" t="s">
        <v>226</v>
      </c>
      <c r="B193" s="1">
        <v>45914</v>
      </c>
      <c r="C193" t="s">
        <v>36</v>
      </c>
      <c r="D193" t="s">
        <v>14</v>
      </c>
      <c r="E193" t="s">
        <v>15</v>
      </c>
      <c r="F193" t="s">
        <v>26</v>
      </c>
      <c r="G193">
        <v>4</v>
      </c>
      <c r="H193" t="s">
        <v>23</v>
      </c>
      <c r="I193">
        <v>9200</v>
      </c>
      <c r="J193">
        <v>0.1</v>
      </c>
      <c r="K193">
        <v>33120</v>
      </c>
      <c r="L193" s="2">
        <v>45901</v>
      </c>
    </row>
    <row r="194" spans="1:12" x14ac:dyDescent="0.25">
      <c r="A194" t="s">
        <v>227</v>
      </c>
      <c r="B194" s="1">
        <v>45915</v>
      </c>
      <c r="C194" t="s">
        <v>46</v>
      </c>
      <c r="D194" t="s">
        <v>29</v>
      </c>
      <c r="E194" t="s">
        <v>15</v>
      </c>
      <c r="F194" t="s">
        <v>16</v>
      </c>
      <c r="G194">
        <v>4</v>
      </c>
      <c r="H194" t="s">
        <v>27</v>
      </c>
      <c r="I194">
        <v>850</v>
      </c>
      <c r="J194">
        <v>0</v>
      </c>
      <c r="K194">
        <v>3400</v>
      </c>
      <c r="L194" s="2">
        <v>45901</v>
      </c>
    </row>
    <row r="195" spans="1:12" x14ac:dyDescent="0.25">
      <c r="A195" t="s">
        <v>228</v>
      </c>
      <c r="B195" s="1">
        <v>45916</v>
      </c>
      <c r="C195" t="s">
        <v>19</v>
      </c>
      <c r="D195" t="s">
        <v>20</v>
      </c>
      <c r="E195" t="s">
        <v>15</v>
      </c>
      <c r="F195" t="s">
        <v>43</v>
      </c>
      <c r="G195">
        <v>6</v>
      </c>
      <c r="H195" t="s">
        <v>23</v>
      </c>
      <c r="I195">
        <v>12500</v>
      </c>
      <c r="J195">
        <v>0.1</v>
      </c>
      <c r="K195">
        <v>67500</v>
      </c>
      <c r="L195" s="2">
        <v>45901</v>
      </c>
    </row>
    <row r="196" spans="1:12" x14ac:dyDescent="0.25">
      <c r="A196" t="s">
        <v>229</v>
      </c>
      <c r="B196" s="1">
        <v>45916</v>
      </c>
      <c r="C196" t="s">
        <v>42</v>
      </c>
      <c r="D196" t="s">
        <v>14</v>
      </c>
      <c r="E196" t="s">
        <v>15</v>
      </c>
      <c r="F196" t="s">
        <v>26</v>
      </c>
      <c r="G196">
        <v>1</v>
      </c>
      <c r="H196" t="s">
        <v>17</v>
      </c>
      <c r="I196">
        <v>14500</v>
      </c>
      <c r="J196">
        <v>0.05</v>
      </c>
      <c r="K196">
        <v>13775</v>
      </c>
      <c r="L196" s="2">
        <v>45901</v>
      </c>
    </row>
    <row r="197" spans="1:12" x14ac:dyDescent="0.25">
      <c r="A197" t="s">
        <v>230</v>
      </c>
      <c r="B197" s="1">
        <v>45917</v>
      </c>
      <c r="C197" t="s">
        <v>13</v>
      </c>
      <c r="D197" t="s">
        <v>20</v>
      </c>
      <c r="E197" t="s">
        <v>21</v>
      </c>
      <c r="F197" t="s">
        <v>33</v>
      </c>
      <c r="G197">
        <v>2</v>
      </c>
      <c r="H197" t="s">
        <v>17</v>
      </c>
      <c r="I197">
        <v>26000</v>
      </c>
      <c r="J197">
        <v>0.1</v>
      </c>
      <c r="K197">
        <v>46800</v>
      </c>
      <c r="L197" s="2">
        <v>45901</v>
      </c>
    </row>
    <row r="198" spans="1:12" x14ac:dyDescent="0.25">
      <c r="A198" t="s">
        <v>231</v>
      </c>
      <c r="B198" s="1">
        <v>45920</v>
      </c>
      <c r="C198" t="s">
        <v>13</v>
      </c>
      <c r="D198" t="s">
        <v>14</v>
      </c>
      <c r="E198" t="s">
        <v>21</v>
      </c>
      <c r="F198" t="s">
        <v>16</v>
      </c>
      <c r="G198">
        <v>5</v>
      </c>
      <c r="H198" t="s">
        <v>17</v>
      </c>
      <c r="I198">
        <v>26000</v>
      </c>
      <c r="J198">
        <v>0</v>
      </c>
      <c r="K198">
        <v>130000</v>
      </c>
      <c r="L198" s="2">
        <v>45901</v>
      </c>
    </row>
    <row r="199" spans="1:12" x14ac:dyDescent="0.25">
      <c r="A199" t="s">
        <v>232</v>
      </c>
      <c r="B199" s="1">
        <v>45920</v>
      </c>
      <c r="C199" t="s">
        <v>42</v>
      </c>
      <c r="D199" t="s">
        <v>14</v>
      </c>
      <c r="E199" t="s">
        <v>15</v>
      </c>
      <c r="F199" t="s">
        <v>33</v>
      </c>
      <c r="G199">
        <v>2</v>
      </c>
      <c r="H199" t="s">
        <v>17</v>
      </c>
      <c r="I199">
        <v>14500</v>
      </c>
      <c r="J199">
        <v>0.1</v>
      </c>
      <c r="K199">
        <v>26100</v>
      </c>
      <c r="L199" s="2">
        <v>45901</v>
      </c>
    </row>
    <row r="200" spans="1:12" x14ac:dyDescent="0.25">
      <c r="A200" t="s">
        <v>233</v>
      </c>
      <c r="B200" s="1">
        <v>45921</v>
      </c>
      <c r="C200" t="s">
        <v>38</v>
      </c>
      <c r="D200" t="s">
        <v>14</v>
      </c>
      <c r="E200" t="s">
        <v>21</v>
      </c>
      <c r="F200" t="s">
        <v>33</v>
      </c>
      <c r="G200">
        <v>6</v>
      </c>
      <c r="H200" t="s">
        <v>17</v>
      </c>
      <c r="I200">
        <v>58000</v>
      </c>
      <c r="J200">
        <v>0.1</v>
      </c>
      <c r="K200">
        <v>313200</v>
      </c>
      <c r="L200" s="2">
        <v>45901</v>
      </c>
    </row>
    <row r="201" spans="1:12" x14ac:dyDescent="0.25">
      <c r="A201" t="s">
        <v>234</v>
      </c>
      <c r="B201" s="1">
        <v>45924</v>
      </c>
      <c r="C201" t="s">
        <v>38</v>
      </c>
      <c r="D201" t="s">
        <v>20</v>
      </c>
      <c r="E201" t="s">
        <v>15</v>
      </c>
      <c r="F201" t="s">
        <v>43</v>
      </c>
      <c r="G201">
        <v>1</v>
      </c>
      <c r="H201" t="s">
        <v>17</v>
      </c>
      <c r="I201">
        <v>58000</v>
      </c>
      <c r="J201">
        <v>0</v>
      </c>
      <c r="K201">
        <v>58000</v>
      </c>
      <c r="L201" s="2">
        <v>45901</v>
      </c>
    </row>
    <row r="202" spans="1:12" x14ac:dyDescent="0.25">
      <c r="A202" t="s">
        <v>235</v>
      </c>
      <c r="B202" s="1">
        <v>45924</v>
      </c>
      <c r="C202" t="s">
        <v>46</v>
      </c>
      <c r="D202" t="s">
        <v>20</v>
      </c>
      <c r="E202" t="s">
        <v>15</v>
      </c>
      <c r="F202" t="s">
        <v>43</v>
      </c>
      <c r="G202">
        <v>2</v>
      </c>
      <c r="H202" t="s">
        <v>27</v>
      </c>
      <c r="I202">
        <v>850</v>
      </c>
      <c r="J202">
        <v>0.1</v>
      </c>
      <c r="K202">
        <v>1530</v>
      </c>
      <c r="L202" s="2">
        <v>45901</v>
      </c>
    </row>
    <row r="203" spans="1:12" x14ac:dyDescent="0.25">
      <c r="A203" t="s">
        <v>236</v>
      </c>
      <c r="B203" s="1">
        <v>45925</v>
      </c>
      <c r="C203" t="s">
        <v>36</v>
      </c>
      <c r="D203" t="s">
        <v>29</v>
      </c>
      <c r="E203" t="s">
        <v>15</v>
      </c>
      <c r="F203" t="s">
        <v>22</v>
      </c>
      <c r="G203">
        <v>3</v>
      </c>
      <c r="H203" t="s">
        <v>23</v>
      </c>
      <c r="I203">
        <v>9200</v>
      </c>
      <c r="J203">
        <v>0</v>
      </c>
      <c r="K203">
        <v>27600</v>
      </c>
      <c r="L203" s="2">
        <v>45901</v>
      </c>
    </row>
    <row r="204" spans="1:12" x14ac:dyDescent="0.25">
      <c r="A204" t="s">
        <v>237</v>
      </c>
      <c r="B204" s="1">
        <v>45926</v>
      </c>
      <c r="C204" t="s">
        <v>42</v>
      </c>
      <c r="D204" t="s">
        <v>20</v>
      </c>
      <c r="E204" t="s">
        <v>15</v>
      </c>
      <c r="F204" t="s">
        <v>26</v>
      </c>
      <c r="G204">
        <v>1</v>
      </c>
      <c r="H204" t="s">
        <v>17</v>
      </c>
      <c r="I204">
        <v>14500</v>
      </c>
      <c r="J204">
        <v>0</v>
      </c>
      <c r="K204">
        <v>14500</v>
      </c>
      <c r="L204" s="2">
        <v>45901</v>
      </c>
    </row>
    <row r="205" spans="1:12" x14ac:dyDescent="0.25">
      <c r="A205" t="s">
        <v>238</v>
      </c>
      <c r="B205" s="1">
        <v>45927</v>
      </c>
      <c r="C205" t="s">
        <v>13</v>
      </c>
      <c r="D205" t="s">
        <v>47</v>
      </c>
      <c r="E205" t="s">
        <v>15</v>
      </c>
      <c r="F205" t="s">
        <v>16</v>
      </c>
      <c r="G205">
        <v>1</v>
      </c>
      <c r="H205" t="s">
        <v>17</v>
      </c>
      <c r="I205">
        <v>26000</v>
      </c>
      <c r="J205">
        <v>0.05</v>
      </c>
      <c r="K205">
        <v>24700</v>
      </c>
      <c r="L205" s="2">
        <v>45901</v>
      </c>
    </row>
    <row r="206" spans="1:12" x14ac:dyDescent="0.25">
      <c r="A206" t="s">
        <v>239</v>
      </c>
      <c r="B206" s="1">
        <v>45928</v>
      </c>
      <c r="C206" t="s">
        <v>42</v>
      </c>
      <c r="D206" t="s">
        <v>47</v>
      </c>
      <c r="E206" t="s">
        <v>21</v>
      </c>
      <c r="F206" t="s">
        <v>43</v>
      </c>
      <c r="G206">
        <v>6</v>
      </c>
      <c r="H206" t="s">
        <v>17</v>
      </c>
      <c r="I206">
        <v>14500</v>
      </c>
      <c r="J206">
        <v>0.05</v>
      </c>
      <c r="K206">
        <v>82650</v>
      </c>
      <c r="L206" s="2">
        <v>45901</v>
      </c>
    </row>
    <row r="207" spans="1:12" x14ac:dyDescent="0.25">
      <c r="A207" t="s">
        <v>240</v>
      </c>
      <c r="B207" s="1">
        <v>45929</v>
      </c>
      <c r="C207" t="s">
        <v>36</v>
      </c>
      <c r="D207" t="s">
        <v>14</v>
      </c>
      <c r="E207" t="s">
        <v>15</v>
      </c>
      <c r="F207" t="s">
        <v>43</v>
      </c>
      <c r="G207">
        <v>3</v>
      </c>
      <c r="H207" t="s">
        <v>23</v>
      </c>
      <c r="I207">
        <v>9200</v>
      </c>
      <c r="J207">
        <v>0.15</v>
      </c>
      <c r="K207">
        <v>23460</v>
      </c>
      <c r="L207" s="2">
        <v>45901</v>
      </c>
    </row>
    <row r="208" spans="1:12" x14ac:dyDescent="0.25">
      <c r="A208" t="s">
        <v>241</v>
      </c>
      <c r="B208" s="1">
        <v>45929</v>
      </c>
      <c r="C208" t="s">
        <v>19</v>
      </c>
      <c r="D208" t="s">
        <v>14</v>
      </c>
      <c r="E208" t="s">
        <v>15</v>
      </c>
      <c r="F208" t="s">
        <v>16</v>
      </c>
      <c r="G208">
        <v>2</v>
      </c>
      <c r="H208" t="s">
        <v>23</v>
      </c>
      <c r="I208">
        <v>12500</v>
      </c>
      <c r="J208">
        <v>0.1</v>
      </c>
      <c r="K208">
        <v>22500</v>
      </c>
      <c r="L208" s="2">
        <v>45901</v>
      </c>
    </row>
    <row r="209" spans="1:12" x14ac:dyDescent="0.25">
      <c r="A209" t="s">
        <v>242</v>
      </c>
      <c r="B209" s="1">
        <v>45931</v>
      </c>
      <c r="C209" t="s">
        <v>19</v>
      </c>
      <c r="D209" t="s">
        <v>14</v>
      </c>
      <c r="E209" t="s">
        <v>15</v>
      </c>
      <c r="F209" t="s">
        <v>33</v>
      </c>
      <c r="G209">
        <v>5</v>
      </c>
      <c r="H209" t="s">
        <v>23</v>
      </c>
      <c r="I209">
        <v>12500</v>
      </c>
      <c r="J209">
        <v>0.1</v>
      </c>
      <c r="K209">
        <v>56250</v>
      </c>
      <c r="L209" s="2">
        <v>45931</v>
      </c>
    </row>
    <row r="210" spans="1:12" x14ac:dyDescent="0.25">
      <c r="A210" t="s">
        <v>243</v>
      </c>
      <c r="B210" s="1">
        <v>45931</v>
      </c>
      <c r="C210" t="s">
        <v>42</v>
      </c>
      <c r="D210" t="s">
        <v>20</v>
      </c>
      <c r="E210" t="s">
        <v>15</v>
      </c>
      <c r="F210" t="s">
        <v>30</v>
      </c>
      <c r="G210">
        <v>1</v>
      </c>
      <c r="H210" t="s">
        <v>17</v>
      </c>
      <c r="I210">
        <v>14500</v>
      </c>
      <c r="J210">
        <v>0.05</v>
      </c>
      <c r="K210">
        <v>13775</v>
      </c>
      <c r="L210" s="2">
        <v>45931</v>
      </c>
    </row>
    <row r="211" spans="1:12" x14ac:dyDescent="0.25">
      <c r="A211" t="s">
        <v>244</v>
      </c>
      <c r="B211" s="1">
        <v>45933</v>
      </c>
      <c r="C211" t="s">
        <v>42</v>
      </c>
      <c r="D211" t="s">
        <v>20</v>
      </c>
      <c r="E211" t="s">
        <v>15</v>
      </c>
      <c r="F211" t="s">
        <v>26</v>
      </c>
      <c r="G211">
        <v>3</v>
      </c>
      <c r="H211" t="s">
        <v>17</v>
      </c>
      <c r="I211">
        <v>14500</v>
      </c>
      <c r="J211">
        <v>0.1</v>
      </c>
      <c r="K211">
        <v>39150</v>
      </c>
      <c r="L211" s="2">
        <v>45931</v>
      </c>
    </row>
    <row r="212" spans="1:12" x14ac:dyDescent="0.25">
      <c r="A212" t="s">
        <v>245</v>
      </c>
      <c r="B212" s="1">
        <v>45936</v>
      </c>
      <c r="C212" t="s">
        <v>25</v>
      </c>
      <c r="D212" t="s">
        <v>29</v>
      </c>
      <c r="E212" t="s">
        <v>21</v>
      </c>
      <c r="F212" t="s">
        <v>43</v>
      </c>
      <c r="G212">
        <v>2</v>
      </c>
      <c r="H212" t="s">
        <v>27</v>
      </c>
      <c r="I212">
        <v>2800</v>
      </c>
      <c r="J212">
        <v>0.05</v>
      </c>
      <c r="K212">
        <v>5320</v>
      </c>
      <c r="L212" s="2">
        <v>45931</v>
      </c>
    </row>
    <row r="213" spans="1:12" x14ac:dyDescent="0.25">
      <c r="A213" t="s">
        <v>246</v>
      </c>
      <c r="B213" s="1">
        <v>45936</v>
      </c>
      <c r="C213" t="s">
        <v>42</v>
      </c>
      <c r="D213" t="s">
        <v>14</v>
      </c>
      <c r="E213" t="s">
        <v>21</v>
      </c>
      <c r="F213" t="s">
        <v>22</v>
      </c>
      <c r="G213">
        <v>5</v>
      </c>
      <c r="H213" t="s">
        <v>17</v>
      </c>
      <c r="I213">
        <v>14500</v>
      </c>
      <c r="J213">
        <v>0.05</v>
      </c>
      <c r="K213">
        <v>68875</v>
      </c>
      <c r="L213" s="2">
        <v>45931</v>
      </c>
    </row>
    <row r="214" spans="1:12" x14ac:dyDescent="0.25">
      <c r="A214" t="s">
        <v>247</v>
      </c>
      <c r="B214" s="1">
        <v>45937</v>
      </c>
      <c r="C214" t="s">
        <v>19</v>
      </c>
      <c r="D214" t="s">
        <v>14</v>
      </c>
      <c r="E214" t="s">
        <v>21</v>
      </c>
      <c r="F214" t="s">
        <v>22</v>
      </c>
      <c r="G214">
        <v>4</v>
      </c>
      <c r="H214" t="s">
        <v>23</v>
      </c>
      <c r="I214">
        <v>12500</v>
      </c>
      <c r="J214">
        <v>0.05</v>
      </c>
      <c r="K214">
        <v>47500</v>
      </c>
      <c r="L214" s="2">
        <v>45931</v>
      </c>
    </row>
    <row r="215" spans="1:12" x14ac:dyDescent="0.25">
      <c r="A215" t="s">
        <v>248</v>
      </c>
      <c r="B215" s="1">
        <v>45937</v>
      </c>
      <c r="C215" t="s">
        <v>25</v>
      </c>
      <c r="D215" t="s">
        <v>14</v>
      </c>
      <c r="E215" t="s">
        <v>21</v>
      </c>
      <c r="F215" t="s">
        <v>30</v>
      </c>
      <c r="G215">
        <v>3</v>
      </c>
      <c r="H215" t="s">
        <v>27</v>
      </c>
      <c r="I215">
        <v>2800</v>
      </c>
      <c r="J215">
        <v>0.05</v>
      </c>
      <c r="K215">
        <v>7980</v>
      </c>
      <c r="L215" s="2">
        <v>45931</v>
      </c>
    </row>
    <row r="216" spans="1:12" x14ac:dyDescent="0.25">
      <c r="A216" t="s">
        <v>249</v>
      </c>
      <c r="B216" s="1">
        <v>45937</v>
      </c>
      <c r="C216" t="s">
        <v>25</v>
      </c>
      <c r="D216" t="s">
        <v>14</v>
      </c>
      <c r="E216" t="s">
        <v>15</v>
      </c>
      <c r="F216" t="s">
        <v>33</v>
      </c>
      <c r="G216">
        <v>4</v>
      </c>
      <c r="H216" t="s">
        <v>27</v>
      </c>
      <c r="I216">
        <v>2800</v>
      </c>
      <c r="J216">
        <v>0.1</v>
      </c>
      <c r="K216">
        <v>10080</v>
      </c>
      <c r="L216" s="2">
        <v>45931</v>
      </c>
    </row>
    <row r="217" spans="1:12" x14ac:dyDescent="0.25">
      <c r="A217" t="s">
        <v>250</v>
      </c>
      <c r="B217" s="1">
        <v>45939</v>
      </c>
      <c r="C217" t="s">
        <v>13</v>
      </c>
      <c r="D217" t="s">
        <v>47</v>
      </c>
      <c r="E217" t="s">
        <v>15</v>
      </c>
      <c r="F217" t="s">
        <v>30</v>
      </c>
      <c r="G217">
        <v>4</v>
      </c>
      <c r="H217" t="s">
        <v>17</v>
      </c>
      <c r="I217">
        <v>26000</v>
      </c>
      <c r="J217">
        <v>0</v>
      </c>
      <c r="K217">
        <v>104000</v>
      </c>
      <c r="L217" s="2">
        <v>45931</v>
      </c>
    </row>
    <row r="218" spans="1:12" x14ac:dyDescent="0.25">
      <c r="A218" t="s">
        <v>251</v>
      </c>
      <c r="B218" s="1">
        <v>45939</v>
      </c>
      <c r="C218" t="s">
        <v>32</v>
      </c>
      <c r="D218" t="s">
        <v>20</v>
      </c>
      <c r="E218" t="s">
        <v>21</v>
      </c>
      <c r="F218" t="s">
        <v>16</v>
      </c>
      <c r="G218">
        <v>5</v>
      </c>
      <c r="H218" t="s">
        <v>27</v>
      </c>
      <c r="I218">
        <v>1900</v>
      </c>
      <c r="J218">
        <v>0.1</v>
      </c>
      <c r="K218">
        <v>8550</v>
      </c>
      <c r="L218" s="2">
        <v>45931</v>
      </c>
    </row>
    <row r="219" spans="1:12" x14ac:dyDescent="0.25">
      <c r="A219" t="s">
        <v>252</v>
      </c>
      <c r="B219" s="1">
        <v>45939</v>
      </c>
      <c r="C219" t="s">
        <v>46</v>
      </c>
      <c r="D219" t="s">
        <v>47</v>
      </c>
      <c r="E219" t="s">
        <v>15</v>
      </c>
      <c r="F219" t="s">
        <v>33</v>
      </c>
      <c r="G219">
        <v>3</v>
      </c>
      <c r="H219" t="s">
        <v>27</v>
      </c>
      <c r="I219">
        <v>850</v>
      </c>
      <c r="J219">
        <v>0.15</v>
      </c>
      <c r="K219">
        <v>2167.5</v>
      </c>
      <c r="L219" s="2">
        <v>45931</v>
      </c>
    </row>
    <row r="220" spans="1:12" x14ac:dyDescent="0.25">
      <c r="A220" t="s">
        <v>253</v>
      </c>
      <c r="B220" s="1">
        <v>45939</v>
      </c>
      <c r="C220" t="s">
        <v>36</v>
      </c>
      <c r="D220" t="s">
        <v>47</v>
      </c>
      <c r="E220" t="s">
        <v>15</v>
      </c>
      <c r="F220" t="s">
        <v>22</v>
      </c>
      <c r="G220">
        <v>5</v>
      </c>
      <c r="H220" t="s">
        <v>23</v>
      </c>
      <c r="I220">
        <v>9200</v>
      </c>
      <c r="J220">
        <v>0.05</v>
      </c>
      <c r="K220">
        <v>43700</v>
      </c>
      <c r="L220" s="2">
        <v>45931</v>
      </c>
    </row>
    <row r="221" spans="1:12" x14ac:dyDescent="0.25">
      <c r="A221" t="s">
        <v>254</v>
      </c>
      <c r="B221" s="1">
        <v>45940</v>
      </c>
      <c r="C221" t="s">
        <v>19</v>
      </c>
      <c r="D221" t="s">
        <v>29</v>
      </c>
      <c r="E221" t="s">
        <v>15</v>
      </c>
      <c r="F221" t="s">
        <v>30</v>
      </c>
      <c r="G221">
        <v>6</v>
      </c>
      <c r="H221" t="s">
        <v>23</v>
      </c>
      <c r="I221">
        <v>12500</v>
      </c>
      <c r="J221">
        <v>0.1</v>
      </c>
      <c r="K221">
        <v>67500</v>
      </c>
      <c r="L221" s="2">
        <v>45931</v>
      </c>
    </row>
    <row r="222" spans="1:12" x14ac:dyDescent="0.25">
      <c r="A222" t="s">
        <v>255</v>
      </c>
      <c r="B222" s="1">
        <v>45940</v>
      </c>
      <c r="C222" t="s">
        <v>46</v>
      </c>
      <c r="D222" t="s">
        <v>20</v>
      </c>
      <c r="E222" t="s">
        <v>21</v>
      </c>
      <c r="F222" t="s">
        <v>33</v>
      </c>
      <c r="G222">
        <v>3</v>
      </c>
      <c r="H222" t="s">
        <v>27</v>
      </c>
      <c r="I222">
        <v>850</v>
      </c>
      <c r="J222">
        <v>0.1</v>
      </c>
      <c r="K222">
        <v>2295</v>
      </c>
      <c r="L222" s="2">
        <v>45931</v>
      </c>
    </row>
    <row r="223" spans="1:12" x14ac:dyDescent="0.25">
      <c r="A223" t="s">
        <v>256</v>
      </c>
      <c r="B223" s="1">
        <v>45941</v>
      </c>
      <c r="C223" t="s">
        <v>13</v>
      </c>
      <c r="D223" t="s">
        <v>20</v>
      </c>
      <c r="E223" t="s">
        <v>21</v>
      </c>
      <c r="F223" t="s">
        <v>43</v>
      </c>
      <c r="G223">
        <v>6</v>
      </c>
      <c r="H223" t="s">
        <v>17</v>
      </c>
      <c r="I223">
        <v>26000</v>
      </c>
      <c r="J223">
        <v>0.05</v>
      </c>
      <c r="K223">
        <v>148200</v>
      </c>
      <c r="L223" s="2">
        <v>45931</v>
      </c>
    </row>
    <row r="224" spans="1:12" x14ac:dyDescent="0.25">
      <c r="A224" t="s">
        <v>257</v>
      </c>
      <c r="B224" s="1">
        <v>45941</v>
      </c>
      <c r="C224" t="s">
        <v>42</v>
      </c>
      <c r="D224" t="s">
        <v>29</v>
      </c>
      <c r="E224" t="s">
        <v>21</v>
      </c>
      <c r="F224" t="s">
        <v>43</v>
      </c>
      <c r="G224">
        <v>3</v>
      </c>
      <c r="H224" t="s">
        <v>17</v>
      </c>
      <c r="I224">
        <v>14500</v>
      </c>
      <c r="J224">
        <v>0.15</v>
      </c>
      <c r="K224">
        <v>36975</v>
      </c>
      <c r="L224" s="2">
        <v>45931</v>
      </c>
    </row>
    <row r="225" spans="1:12" x14ac:dyDescent="0.25">
      <c r="A225" t="s">
        <v>258</v>
      </c>
      <c r="B225" s="1">
        <v>45945</v>
      </c>
      <c r="C225" t="s">
        <v>25</v>
      </c>
      <c r="D225" t="s">
        <v>20</v>
      </c>
      <c r="E225" t="s">
        <v>21</v>
      </c>
      <c r="F225" t="s">
        <v>16</v>
      </c>
      <c r="G225">
        <v>1</v>
      </c>
      <c r="H225" t="s">
        <v>27</v>
      </c>
      <c r="I225">
        <v>2800</v>
      </c>
      <c r="J225">
        <v>0</v>
      </c>
      <c r="K225">
        <v>2800</v>
      </c>
      <c r="L225" s="2">
        <v>45931</v>
      </c>
    </row>
    <row r="226" spans="1:12" x14ac:dyDescent="0.25">
      <c r="A226" t="s">
        <v>259</v>
      </c>
      <c r="B226" s="1">
        <v>45947</v>
      </c>
      <c r="C226" t="s">
        <v>36</v>
      </c>
      <c r="D226" t="s">
        <v>20</v>
      </c>
      <c r="E226" t="s">
        <v>15</v>
      </c>
      <c r="F226" t="s">
        <v>33</v>
      </c>
      <c r="G226">
        <v>2</v>
      </c>
      <c r="H226" t="s">
        <v>23</v>
      </c>
      <c r="I226">
        <v>9200</v>
      </c>
      <c r="J226">
        <v>0.15</v>
      </c>
      <c r="K226">
        <v>15640</v>
      </c>
      <c r="L226" s="2">
        <v>45931</v>
      </c>
    </row>
    <row r="227" spans="1:12" x14ac:dyDescent="0.25">
      <c r="A227" t="s">
        <v>260</v>
      </c>
      <c r="B227" s="1">
        <v>45949</v>
      </c>
      <c r="C227" t="s">
        <v>46</v>
      </c>
      <c r="D227" t="s">
        <v>14</v>
      </c>
      <c r="E227" t="s">
        <v>21</v>
      </c>
      <c r="F227" t="s">
        <v>22</v>
      </c>
      <c r="G227">
        <v>1</v>
      </c>
      <c r="H227" t="s">
        <v>27</v>
      </c>
      <c r="I227">
        <v>850</v>
      </c>
      <c r="J227">
        <v>0.05</v>
      </c>
      <c r="K227">
        <v>807.5</v>
      </c>
      <c r="L227" s="2">
        <v>45931</v>
      </c>
    </row>
    <row r="228" spans="1:12" x14ac:dyDescent="0.25">
      <c r="A228" t="s">
        <v>261</v>
      </c>
      <c r="B228" s="1">
        <v>45953</v>
      </c>
      <c r="C228" t="s">
        <v>13</v>
      </c>
      <c r="D228" t="s">
        <v>20</v>
      </c>
      <c r="E228" t="s">
        <v>21</v>
      </c>
      <c r="F228" t="s">
        <v>30</v>
      </c>
      <c r="G228">
        <v>5</v>
      </c>
      <c r="H228" t="s">
        <v>17</v>
      </c>
      <c r="I228">
        <v>26000</v>
      </c>
      <c r="J228">
        <v>0.1</v>
      </c>
      <c r="K228">
        <v>117000</v>
      </c>
      <c r="L228" s="2">
        <v>45931</v>
      </c>
    </row>
    <row r="229" spans="1:12" x14ac:dyDescent="0.25">
      <c r="A229" t="s">
        <v>262</v>
      </c>
      <c r="B229" s="1">
        <v>45955</v>
      </c>
      <c r="C229" t="s">
        <v>13</v>
      </c>
      <c r="D229" t="s">
        <v>47</v>
      </c>
      <c r="E229" t="s">
        <v>15</v>
      </c>
      <c r="F229" t="s">
        <v>33</v>
      </c>
      <c r="G229">
        <v>5</v>
      </c>
      <c r="H229" t="s">
        <v>17</v>
      </c>
      <c r="I229">
        <v>26000</v>
      </c>
      <c r="J229">
        <v>0.1</v>
      </c>
      <c r="K229">
        <v>117000</v>
      </c>
      <c r="L229" s="2">
        <v>45931</v>
      </c>
    </row>
    <row r="230" spans="1:12" x14ac:dyDescent="0.25">
      <c r="A230" t="s">
        <v>263</v>
      </c>
      <c r="B230" s="1">
        <v>45956</v>
      </c>
      <c r="C230" t="s">
        <v>46</v>
      </c>
      <c r="D230" t="s">
        <v>29</v>
      </c>
      <c r="E230" t="s">
        <v>15</v>
      </c>
      <c r="F230" t="s">
        <v>33</v>
      </c>
      <c r="G230">
        <v>4</v>
      </c>
      <c r="H230" t="s">
        <v>27</v>
      </c>
      <c r="I230">
        <v>850</v>
      </c>
      <c r="J230">
        <v>0.1</v>
      </c>
      <c r="K230">
        <v>3060</v>
      </c>
      <c r="L230" s="2">
        <v>45931</v>
      </c>
    </row>
    <row r="231" spans="1:12" x14ac:dyDescent="0.25">
      <c r="A231" t="s">
        <v>264</v>
      </c>
      <c r="B231" s="1">
        <v>45957</v>
      </c>
      <c r="C231" t="s">
        <v>32</v>
      </c>
      <c r="D231" t="s">
        <v>14</v>
      </c>
      <c r="E231" t="s">
        <v>21</v>
      </c>
      <c r="F231" t="s">
        <v>30</v>
      </c>
      <c r="G231">
        <v>2</v>
      </c>
      <c r="H231" t="s">
        <v>27</v>
      </c>
      <c r="I231">
        <v>1900</v>
      </c>
      <c r="J231">
        <v>0</v>
      </c>
      <c r="K231">
        <v>3800</v>
      </c>
      <c r="L231" s="2">
        <v>45931</v>
      </c>
    </row>
    <row r="232" spans="1:12" x14ac:dyDescent="0.25">
      <c r="A232" t="s">
        <v>265</v>
      </c>
      <c r="B232" s="1">
        <v>45959</v>
      </c>
      <c r="C232" t="s">
        <v>38</v>
      </c>
      <c r="D232" t="s">
        <v>20</v>
      </c>
      <c r="E232" t="s">
        <v>15</v>
      </c>
      <c r="F232" t="s">
        <v>33</v>
      </c>
      <c r="G232">
        <v>6</v>
      </c>
      <c r="H232" t="s">
        <v>17</v>
      </c>
      <c r="I232">
        <v>58000</v>
      </c>
      <c r="J232">
        <v>0</v>
      </c>
      <c r="K232">
        <v>348000</v>
      </c>
      <c r="L232" s="2">
        <v>45931</v>
      </c>
    </row>
    <row r="233" spans="1:12" x14ac:dyDescent="0.25">
      <c r="A233" t="s">
        <v>266</v>
      </c>
      <c r="B233" s="1">
        <v>45960</v>
      </c>
      <c r="C233" t="s">
        <v>13</v>
      </c>
      <c r="D233" t="s">
        <v>29</v>
      </c>
      <c r="E233" t="s">
        <v>15</v>
      </c>
      <c r="F233" t="s">
        <v>22</v>
      </c>
      <c r="G233">
        <v>3</v>
      </c>
      <c r="H233" t="s">
        <v>17</v>
      </c>
      <c r="I233">
        <v>26000</v>
      </c>
      <c r="J233">
        <v>0</v>
      </c>
      <c r="K233">
        <v>78000</v>
      </c>
      <c r="L233" s="2">
        <v>45931</v>
      </c>
    </row>
    <row r="234" spans="1:12" x14ac:dyDescent="0.25">
      <c r="A234" t="s">
        <v>267</v>
      </c>
      <c r="B234" s="1">
        <v>45961</v>
      </c>
      <c r="C234" t="s">
        <v>25</v>
      </c>
      <c r="D234" t="s">
        <v>47</v>
      </c>
      <c r="E234" t="s">
        <v>15</v>
      </c>
      <c r="F234" t="s">
        <v>43</v>
      </c>
      <c r="G234">
        <v>4</v>
      </c>
      <c r="H234" t="s">
        <v>27</v>
      </c>
      <c r="I234">
        <v>2800</v>
      </c>
      <c r="J234">
        <v>0.05</v>
      </c>
      <c r="K234">
        <v>10640</v>
      </c>
      <c r="L234" s="2">
        <v>45931</v>
      </c>
    </row>
    <row r="235" spans="1:12" x14ac:dyDescent="0.25">
      <c r="A235" t="s">
        <v>268</v>
      </c>
      <c r="B235" s="1">
        <v>45961</v>
      </c>
      <c r="C235" t="s">
        <v>46</v>
      </c>
      <c r="D235" t="s">
        <v>29</v>
      </c>
      <c r="E235" t="s">
        <v>15</v>
      </c>
      <c r="F235" t="s">
        <v>43</v>
      </c>
      <c r="G235">
        <v>3</v>
      </c>
      <c r="H235" t="s">
        <v>27</v>
      </c>
      <c r="I235">
        <v>850</v>
      </c>
      <c r="J235">
        <v>0.05</v>
      </c>
      <c r="K235">
        <v>2422.5</v>
      </c>
      <c r="L235" s="2">
        <v>45931</v>
      </c>
    </row>
    <row r="236" spans="1:12" x14ac:dyDescent="0.25">
      <c r="A236" t="s">
        <v>269</v>
      </c>
      <c r="B236" s="1">
        <v>45961</v>
      </c>
      <c r="C236" t="s">
        <v>19</v>
      </c>
      <c r="D236" t="s">
        <v>14</v>
      </c>
      <c r="E236" t="s">
        <v>21</v>
      </c>
      <c r="F236" t="s">
        <v>30</v>
      </c>
      <c r="G236">
        <v>5</v>
      </c>
      <c r="H236" t="s">
        <v>23</v>
      </c>
      <c r="I236">
        <v>12500</v>
      </c>
      <c r="J236">
        <v>0</v>
      </c>
      <c r="K236">
        <v>62500</v>
      </c>
      <c r="L236" s="2">
        <v>45931</v>
      </c>
    </row>
    <row r="237" spans="1:12" x14ac:dyDescent="0.25">
      <c r="A237" t="s">
        <v>270</v>
      </c>
      <c r="B237" s="1">
        <v>45962</v>
      </c>
      <c r="C237" t="s">
        <v>38</v>
      </c>
      <c r="D237" t="s">
        <v>20</v>
      </c>
      <c r="E237" t="s">
        <v>15</v>
      </c>
      <c r="F237" t="s">
        <v>30</v>
      </c>
      <c r="G237">
        <v>5</v>
      </c>
      <c r="H237" t="s">
        <v>17</v>
      </c>
      <c r="I237">
        <v>58000</v>
      </c>
      <c r="J237">
        <v>0.1</v>
      </c>
      <c r="K237">
        <v>261000</v>
      </c>
      <c r="L237" s="2">
        <v>45962</v>
      </c>
    </row>
    <row r="238" spans="1:12" x14ac:dyDescent="0.25">
      <c r="A238" t="s">
        <v>271</v>
      </c>
      <c r="B238" s="1">
        <v>45962</v>
      </c>
      <c r="C238" t="s">
        <v>32</v>
      </c>
      <c r="D238" t="s">
        <v>47</v>
      </c>
      <c r="E238" t="s">
        <v>21</v>
      </c>
      <c r="F238" t="s">
        <v>33</v>
      </c>
      <c r="G238">
        <v>4</v>
      </c>
      <c r="H238" t="s">
        <v>27</v>
      </c>
      <c r="I238">
        <v>1900</v>
      </c>
      <c r="J238">
        <v>0.1</v>
      </c>
      <c r="K238">
        <v>6840</v>
      </c>
      <c r="L238" s="2">
        <v>45962</v>
      </c>
    </row>
    <row r="239" spans="1:12" x14ac:dyDescent="0.25">
      <c r="A239" t="s">
        <v>272</v>
      </c>
      <c r="B239" s="1">
        <v>45963</v>
      </c>
      <c r="C239" t="s">
        <v>32</v>
      </c>
      <c r="D239" t="s">
        <v>29</v>
      </c>
      <c r="E239" t="s">
        <v>15</v>
      </c>
      <c r="F239" t="s">
        <v>33</v>
      </c>
      <c r="G239">
        <v>2</v>
      </c>
      <c r="H239" t="s">
        <v>27</v>
      </c>
      <c r="I239">
        <v>1900</v>
      </c>
      <c r="J239">
        <v>0.1</v>
      </c>
      <c r="K239">
        <v>3420</v>
      </c>
      <c r="L239" s="2">
        <v>45962</v>
      </c>
    </row>
    <row r="240" spans="1:12" x14ac:dyDescent="0.25">
      <c r="A240" t="s">
        <v>273</v>
      </c>
      <c r="B240" s="1">
        <v>45964</v>
      </c>
      <c r="C240" t="s">
        <v>38</v>
      </c>
      <c r="D240" t="s">
        <v>14</v>
      </c>
      <c r="E240" t="s">
        <v>15</v>
      </c>
      <c r="F240" t="s">
        <v>22</v>
      </c>
      <c r="G240">
        <v>5</v>
      </c>
      <c r="H240" t="s">
        <v>17</v>
      </c>
      <c r="I240">
        <v>58000</v>
      </c>
      <c r="J240">
        <v>0.1</v>
      </c>
      <c r="K240">
        <v>261000</v>
      </c>
      <c r="L240" s="2">
        <v>45962</v>
      </c>
    </row>
    <row r="241" spans="1:12" x14ac:dyDescent="0.25">
      <c r="A241" t="s">
        <v>274</v>
      </c>
      <c r="B241" s="1">
        <v>45964</v>
      </c>
      <c r="C241" t="s">
        <v>46</v>
      </c>
      <c r="D241" t="s">
        <v>47</v>
      </c>
      <c r="E241" t="s">
        <v>15</v>
      </c>
      <c r="F241" t="s">
        <v>26</v>
      </c>
      <c r="G241">
        <v>5</v>
      </c>
      <c r="H241" t="s">
        <v>27</v>
      </c>
      <c r="I241">
        <v>850</v>
      </c>
      <c r="J241">
        <v>0</v>
      </c>
      <c r="K241">
        <v>4250</v>
      </c>
      <c r="L241" s="2">
        <v>45962</v>
      </c>
    </row>
    <row r="242" spans="1:12" x14ac:dyDescent="0.25">
      <c r="A242" t="s">
        <v>275</v>
      </c>
      <c r="B242" s="1">
        <v>45965</v>
      </c>
      <c r="C242" t="s">
        <v>46</v>
      </c>
      <c r="D242" t="s">
        <v>20</v>
      </c>
      <c r="E242" t="s">
        <v>15</v>
      </c>
      <c r="F242" t="s">
        <v>22</v>
      </c>
      <c r="G242">
        <v>2</v>
      </c>
      <c r="H242" t="s">
        <v>27</v>
      </c>
      <c r="I242">
        <v>850</v>
      </c>
      <c r="J242">
        <v>0</v>
      </c>
      <c r="K242">
        <v>1700</v>
      </c>
      <c r="L242" s="2">
        <v>45962</v>
      </c>
    </row>
    <row r="243" spans="1:12" x14ac:dyDescent="0.25">
      <c r="A243" t="s">
        <v>276</v>
      </c>
      <c r="B243" s="1">
        <v>45965</v>
      </c>
      <c r="C243" t="s">
        <v>36</v>
      </c>
      <c r="D243" t="s">
        <v>14</v>
      </c>
      <c r="E243" t="s">
        <v>15</v>
      </c>
      <c r="F243" t="s">
        <v>26</v>
      </c>
      <c r="G243">
        <v>5</v>
      </c>
      <c r="H243" t="s">
        <v>23</v>
      </c>
      <c r="I243">
        <v>9200</v>
      </c>
      <c r="J243">
        <v>0.1</v>
      </c>
      <c r="K243">
        <v>41400</v>
      </c>
      <c r="L243" s="2">
        <v>45962</v>
      </c>
    </row>
    <row r="244" spans="1:12" x14ac:dyDescent="0.25">
      <c r="A244" t="s">
        <v>277</v>
      </c>
      <c r="B244" s="1">
        <v>45966</v>
      </c>
      <c r="C244" t="s">
        <v>46</v>
      </c>
      <c r="D244" t="s">
        <v>20</v>
      </c>
      <c r="E244" t="s">
        <v>21</v>
      </c>
      <c r="F244" t="s">
        <v>33</v>
      </c>
      <c r="G244">
        <v>2</v>
      </c>
      <c r="H244" t="s">
        <v>27</v>
      </c>
      <c r="I244">
        <v>850</v>
      </c>
      <c r="J244">
        <v>0</v>
      </c>
      <c r="K244">
        <v>1700</v>
      </c>
      <c r="L244" s="2">
        <v>45962</v>
      </c>
    </row>
    <row r="245" spans="1:12" x14ac:dyDescent="0.25">
      <c r="A245" t="s">
        <v>278</v>
      </c>
      <c r="B245" s="1">
        <v>45966</v>
      </c>
      <c r="C245" t="s">
        <v>36</v>
      </c>
      <c r="D245" t="s">
        <v>14</v>
      </c>
      <c r="E245" t="s">
        <v>15</v>
      </c>
      <c r="F245" t="s">
        <v>22</v>
      </c>
      <c r="G245">
        <v>5</v>
      </c>
      <c r="H245" t="s">
        <v>23</v>
      </c>
      <c r="I245">
        <v>9200</v>
      </c>
      <c r="J245">
        <v>0.1</v>
      </c>
      <c r="K245">
        <v>41400</v>
      </c>
      <c r="L245" s="2">
        <v>45962</v>
      </c>
    </row>
    <row r="246" spans="1:12" x14ac:dyDescent="0.25">
      <c r="A246" t="s">
        <v>279</v>
      </c>
      <c r="B246" s="1">
        <v>45967</v>
      </c>
      <c r="C246" t="s">
        <v>46</v>
      </c>
      <c r="D246" t="s">
        <v>14</v>
      </c>
      <c r="E246" t="s">
        <v>15</v>
      </c>
      <c r="F246" t="s">
        <v>43</v>
      </c>
      <c r="G246">
        <v>4</v>
      </c>
      <c r="H246" t="s">
        <v>27</v>
      </c>
      <c r="I246">
        <v>850</v>
      </c>
      <c r="J246">
        <v>0.1</v>
      </c>
      <c r="K246">
        <v>3060</v>
      </c>
      <c r="L246" s="2">
        <v>45962</v>
      </c>
    </row>
    <row r="247" spans="1:12" x14ac:dyDescent="0.25">
      <c r="A247" t="s">
        <v>280</v>
      </c>
      <c r="B247" s="1">
        <v>45969</v>
      </c>
      <c r="C247" t="s">
        <v>36</v>
      </c>
      <c r="D247" t="s">
        <v>47</v>
      </c>
      <c r="E247" t="s">
        <v>21</v>
      </c>
      <c r="F247" t="s">
        <v>26</v>
      </c>
      <c r="G247">
        <v>2</v>
      </c>
      <c r="H247" t="s">
        <v>23</v>
      </c>
      <c r="I247">
        <v>9200</v>
      </c>
      <c r="J247">
        <v>0.05</v>
      </c>
      <c r="K247">
        <v>17480</v>
      </c>
      <c r="L247" s="2">
        <v>45962</v>
      </c>
    </row>
    <row r="248" spans="1:12" x14ac:dyDescent="0.25">
      <c r="A248" t="s">
        <v>281</v>
      </c>
      <c r="B248" s="1">
        <v>45970</v>
      </c>
      <c r="C248" t="s">
        <v>38</v>
      </c>
      <c r="D248" t="s">
        <v>20</v>
      </c>
      <c r="E248" t="s">
        <v>15</v>
      </c>
      <c r="F248" t="s">
        <v>30</v>
      </c>
      <c r="G248">
        <v>3</v>
      </c>
      <c r="H248" t="s">
        <v>17</v>
      </c>
      <c r="I248">
        <v>58000</v>
      </c>
      <c r="J248">
        <v>0.05</v>
      </c>
      <c r="K248">
        <v>165300</v>
      </c>
      <c r="L248" s="2">
        <v>45962</v>
      </c>
    </row>
    <row r="249" spans="1:12" x14ac:dyDescent="0.25">
      <c r="A249" t="s">
        <v>282</v>
      </c>
      <c r="B249" s="1">
        <v>45971</v>
      </c>
      <c r="C249" t="s">
        <v>19</v>
      </c>
      <c r="D249" t="s">
        <v>29</v>
      </c>
      <c r="E249" t="s">
        <v>15</v>
      </c>
      <c r="F249" t="s">
        <v>33</v>
      </c>
      <c r="G249">
        <v>1</v>
      </c>
      <c r="H249" t="s">
        <v>23</v>
      </c>
      <c r="I249">
        <v>12500</v>
      </c>
      <c r="J249">
        <v>0</v>
      </c>
      <c r="K249">
        <v>12500</v>
      </c>
      <c r="L249" s="2">
        <v>45962</v>
      </c>
    </row>
    <row r="250" spans="1:12" x14ac:dyDescent="0.25">
      <c r="A250" t="s">
        <v>283</v>
      </c>
      <c r="B250" s="1">
        <v>45971</v>
      </c>
      <c r="C250" t="s">
        <v>46</v>
      </c>
      <c r="D250" t="s">
        <v>14</v>
      </c>
      <c r="E250" t="s">
        <v>15</v>
      </c>
      <c r="F250" t="s">
        <v>43</v>
      </c>
      <c r="G250">
        <v>6</v>
      </c>
      <c r="H250" t="s">
        <v>27</v>
      </c>
      <c r="I250">
        <v>850</v>
      </c>
      <c r="J250">
        <v>0</v>
      </c>
      <c r="K250">
        <v>5100</v>
      </c>
      <c r="L250" s="2">
        <v>45962</v>
      </c>
    </row>
    <row r="251" spans="1:12" x14ac:dyDescent="0.25">
      <c r="A251" t="s">
        <v>284</v>
      </c>
      <c r="B251" s="1">
        <v>45973</v>
      </c>
      <c r="C251" t="s">
        <v>46</v>
      </c>
      <c r="D251" t="s">
        <v>14</v>
      </c>
      <c r="E251" t="s">
        <v>21</v>
      </c>
      <c r="F251" t="s">
        <v>30</v>
      </c>
      <c r="G251">
        <v>2</v>
      </c>
      <c r="H251" t="s">
        <v>27</v>
      </c>
      <c r="I251">
        <v>850</v>
      </c>
      <c r="J251">
        <v>0.15</v>
      </c>
      <c r="K251">
        <v>1445</v>
      </c>
      <c r="L251" s="2">
        <v>45962</v>
      </c>
    </row>
    <row r="252" spans="1:12" x14ac:dyDescent="0.25">
      <c r="A252" t="s">
        <v>285</v>
      </c>
      <c r="B252" s="1">
        <v>45974</v>
      </c>
      <c r="C252" t="s">
        <v>19</v>
      </c>
      <c r="D252" t="s">
        <v>20</v>
      </c>
      <c r="E252" t="s">
        <v>15</v>
      </c>
      <c r="F252" t="s">
        <v>33</v>
      </c>
      <c r="G252">
        <v>1</v>
      </c>
      <c r="H252" t="s">
        <v>23</v>
      </c>
      <c r="I252">
        <v>12500</v>
      </c>
      <c r="J252">
        <v>0.1</v>
      </c>
      <c r="K252">
        <v>11250</v>
      </c>
      <c r="L252" s="2">
        <v>45962</v>
      </c>
    </row>
    <row r="253" spans="1:12" x14ac:dyDescent="0.25">
      <c r="A253" t="s">
        <v>286</v>
      </c>
      <c r="B253" s="1">
        <v>45975</v>
      </c>
      <c r="C253" t="s">
        <v>19</v>
      </c>
      <c r="D253" t="s">
        <v>14</v>
      </c>
      <c r="E253" t="s">
        <v>15</v>
      </c>
      <c r="F253" t="s">
        <v>30</v>
      </c>
      <c r="G253">
        <v>5</v>
      </c>
      <c r="H253" t="s">
        <v>23</v>
      </c>
      <c r="I253">
        <v>12500</v>
      </c>
      <c r="J253">
        <v>0.15</v>
      </c>
      <c r="K253">
        <v>53125</v>
      </c>
      <c r="L253" s="2">
        <v>45962</v>
      </c>
    </row>
    <row r="254" spans="1:12" x14ac:dyDescent="0.25">
      <c r="A254" t="s">
        <v>287</v>
      </c>
      <c r="B254" s="1">
        <v>45975</v>
      </c>
      <c r="C254" t="s">
        <v>25</v>
      </c>
      <c r="D254" t="s">
        <v>29</v>
      </c>
      <c r="E254" t="s">
        <v>15</v>
      </c>
      <c r="F254" t="s">
        <v>16</v>
      </c>
      <c r="G254">
        <v>3</v>
      </c>
      <c r="H254" t="s">
        <v>27</v>
      </c>
      <c r="I254">
        <v>2800</v>
      </c>
      <c r="J254">
        <v>0.05</v>
      </c>
      <c r="K254">
        <v>7980</v>
      </c>
      <c r="L254" s="2">
        <v>45962</v>
      </c>
    </row>
    <row r="255" spans="1:12" x14ac:dyDescent="0.25">
      <c r="A255" t="s">
        <v>288</v>
      </c>
      <c r="B255" s="1">
        <v>45977</v>
      </c>
      <c r="C255" t="s">
        <v>46</v>
      </c>
      <c r="D255" t="s">
        <v>14</v>
      </c>
      <c r="E255" t="s">
        <v>15</v>
      </c>
      <c r="F255" t="s">
        <v>43</v>
      </c>
      <c r="G255">
        <v>2</v>
      </c>
      <c r="H255" t="s">
        <v>27</v>
      </c>
      <c r="I255">
        <v>850</v>
      </c>
      <c r="J255">
        <v>0.1</v>
      </c>
      <c r="K255">
        <v>1530</v>
      </c>
      <c r="L255" s="2">
        <v>45962</v>
      </c>
    </row>
    <row r="256" spans="1:12" x14ac:dyDescent="0.25">
      <c r="A256" t="s">
        <v>289</v>
      </c>
      <c r="B256" s="1">
        <v>45978</v>
      </c>
      <c r="C256" t="s">
        <v>32</v>
      </c>
      <c r="D256" t="s">
        <v>20</v>
      </c>
      <c r="E256" t="s">
        <v>21</v>
      </c>
      <c r="F256" t="s">
        <v>30</v>
      </c>
      <c r="G256">
        <v>1</v>
      </c>
      <c r="H256" t="s">
        <v>27</v>
      </c>
      <c r="I256">
        <v>1900</v>
      </c>
      <c r="J256">
        <v>0</v>
      </c>
      <c r="K256">
        <v>1900</v>
      </c>
      <c r="L256" s="2">
        <v>45962</v>
      </c>
    </row>
    <row r="257" spans="1:12" x14ac:dyDescent="0.25">
      <c r="A257" t="s">
        <v>290</v>
      </c>
      <c r="B257" s="1">
        <v>45979</v>
      </c>
      <c r="C257" t="s">
        <v>25</v>
      </c>
      <c r="D257" t="s">
        <v>29</v>
      </c>
      <c r="E257" t="s">
        <v>21</v>
      </c>
      <c r="F257" t="s">
        <v>16</v>
      </c>
      <c r="G257">
        <v>5</v>
      </c>
      <c r="H257" t="s">
        <v>27</v>
      </c>
      <c r="I257">
        <v>2800</v>
      </c>
      <c r="J257">
        <v>0.1</v>
      </c>
      <c r="K257">
        <v>12600</v>
      </c>
      <c r="L257" s="2">
        <v>45962</v>
      </c>
    </row>
    <row r="258" spans="1:12" x14ac:dyDescent="0.25">
      <c r="A258" t="s">
        <v>291</v>
      </c>
      <c r="B258" s="1">
        <v>45979</v>
      </c>
      <c r="C258" t="s">
        <v>25</v>
      </c>
      <c r="D258" t="s">
        <v>14</v>
      </c>
      <c r="E258" t="s">
        <v>15</v>
      </c>
      <c r="F258" t="s">
        <v>33</v>
      </c>
      <c r="G258">
        <v>2</v>
      </c>
      <c r="H258" t="s">
        <v>27</v>
      </c>
      <c r="I258">
        <v>2800</v>
      </c>
      <c r="J258">
        <v>0.1</v>
      </c>
      <c r="K258">
        <v>5040</v>
      </c>
      <c r="L258" s="2">
        <v>45962</v>
      </c>
    </row>
    <row r="259" spans="1:12" x14ac:dyDescent="0.25">
      <c r="A259" t="s">
        <v>292</v>
      </c>
      <c r="B259" s="1">
        <v>45980</v>
      </c>
      <c r="C259" t="s">
        <v>13</v>
      </c>
      <c r="D259" t="s">
        <v>14</v>
      </c>
      <c r="E259" t="s">
        <v>15</v>
      </c>
      <c r="F259" t="s">
        <v>22</v>
      </c>
      <c r="G259">
        <v>1</v>
      </c>
      <c r="H259" t="s">
        <v>17</v>
      </c>
      <c r="I259">
        <v>26000</v>
      </c>
      <c r="J259">
        <v>0.05</v>
      </c>
      <c r="K259">
        <v>24700</v>
      </c>
      <c r="L259" s="2">
        <v>45962</v>
      </c>
    </row>
    <row r="260" spans="1:12" x14ac:dyDescent="0.25">
      <c r="A260" t="s">
        <v>293</v>
      </c>
      <c r="B260" s="1">
        <v>45981</v>
      </c>
      <c r="C260" t="s">
        <v>36</v>
      </c>
      <c r="D260" t="s">
        <v>14</v>
      </c>
      <c r="E260" t="s">
        <v>15</v>
      </c>
      <c r="F260" t="s">
        <v>30</v>
      </c>
      <c r="G260">
        <v>1</v>
      </c>
      <c r="H260" t="s">
        <v>23</v>
      </c>
      <c r="I260">
        <v>9200</v>
      </c>
      <c r="J260">
        <v>0</v>
      </c>
      <c r="K260">
        <v>9200</v>
      </c>
      <c r="L260" s="2">
        <v>45962</v>
      </c>
    </row>
    <row r="261" spans="1:12" x14ac:dyDescent="0.25">
      <c r="A261" t="s">
        <v>294</v>
      </c>
      <c r="B261" s="1">
        <v>45981</v>
      </c>
      <c r="C261" t="s">
        <v>38</v>
      </c>
      <c r="D261" t="s">
        <v>20</v>
      </c>
      <c r="E261" t="s">
        <v>15</v>
      </c>
      <c r="F261" t="s">
        <v>43</v>
      </c>
      <c r="G261">
        <v>4</v>
      </c>
      <c r="H261" t="s">
        <v>17</v>
      </c>
      <c r="I261">
        <v>58000</v>
      </c>
      <c r="J261">
        <v>0.05</v>
      </c>
      <c r="K261">
        <v>220400</v>
      </c>
      <c r="L261" s="2">
        <v>45962</v>
      </c>
    </row>
    <row r="262" spans="1:12" x14ac:dyDescent="0.25">
      <c r="A262" t="s">
        <v>295</v>
      </c>
      <c r="B262" s="1">
        <v>45982</v>
      </c>
      <c r="C262" t="s">
        <v>42</v>
      </c>
      <c r="D262" t="s">
        <v>20</v>
      </c>
      <c r="E262" t="s">
        <v>21</v>
      </c>
      <c r="F262" t="s">
        <v>43</v>
      </c>
      <c r="G262">
        <v>6</v>
      </c>
      <c r="H262" t="s">
        <v>17</v>
      </c>
      <c r="I262">
        <v>14500</v>
      </c>
      <c r="J262">
        <v>0</v>
      </c>
      <c r="K262">
        <v>87000</v>
      </c>
      <c r="L262" s="2">
        <v>45962</v>
      </c>
    </row>
    <row r="263" spans="1:12" x14ac:dyDescent="0.25">
      <c r="A263" t="s">
        <v>296</v>
      </c>
      <c r="B263" s="1">
        <v>45982</v>
      </c>
      <c r="C263" t="s">
        <v>19</v>
      </c>
      <c r="D263" t="s">
        <v>47</v>
      </c>
      <c r="E263" t="s">
        <v>21</v>
      </c>
      <c r="F263" t="s">
        <v>16</v>
      </c>
      <c r="G263">
        <v>1</v>
      </c>
      <c r="H263" t="s">
        <v>23</v>
      </c>
      <c r="I263">
        <v>12500</v>
      </c>
      <c r="J263">
        <v>0.05</v>
      </c>
      <c r="K263">
        <v>11875</v>
      </c>
      <c r="L263" s="2">
        <v>45962</v>
      </c>
    </row>
    <row r="264" spans="1:12" x14ac:dyDescent="0.25">
      <c r="A264" t="s">
        <v>297</v>
      </c>
      <c r="B264" s="1">
        <v>45986</v>
      </c>
      <c r="C264" t="s">
        <v>38</v>
      </c>
      <c r="D264" t="s">
        <v>47</v>
      </c>
      <c r="E264" t="s">
        <v>15</v>
      </c>
      <c r="F264" t="s">
        <v>43</v>
      </c>
      <c r="G264">
        <v>5</v>
      </c>
      <c r="H264" t="s">
        <v>17</v>
      </c>
      <c r="I264">
        <v>58000</v>
      </c>
      <c r="J264">
        <v>0</v>
      </c>
      <c r="K264">
        <v>290000</v>
      </c>
      <c r="L264" s="2">
        <v>45962</v>
      </c>
    </row>
    <row r="265" spans="1:12" x14ac:dyDescent="0.25">
      <c r="A265" t="s">
        <v>298</v>
      </c>
      <c r="B265" s="1">
        <v>45986</v>
      </c>
      <c r="C265" t="s">
        <v>25</v>
      </c>
      <c r="D265" t="s">
        <v>29</v>
      </c>
      <c r="E265" t="s">
        <v>21</v>
      </c>
      <c r="F265" t="s">
        <v>22</v>
      </c>
      <c r="G265">
        <v>3</v>
      </c>
      <c r="H265" t="s">
        <v>27</v>
      </c>
      <c r="I265">
        <v>2800</v>
      </c>
      <c r="J265">
        <v>0.05</v>
      </c>
      <c r="K265">
        <v>7980</v>
      </c>
      <c r="L265" s="2">
        <v>45962</v>
      </c>
    </row>
    <row r="266" spans="1:12" x14ac:dyDescent="0.25">
      <c r="A266" t="s">
        <v>299</v>
      </c>
      <c r="B266" s="1">
        <v>45987</v>
      </c>
      <c r="C266" t="s">
        <v>38</v>
      </c>
      <c r="D266" t="s">
        <v>47</v>
      </c>
      <c r="E266" t="s">
        <v>21</v>
      </c>
      <c r="F266" t="s">
        <v>16</v>
      </c>
      <c r="G266">
        <v>4</v>
      </c>
      <c r="H266" t="s">
        <v>17</v>
      </c>
      <c r="I266">
        <v>58000</v>
      </c>
      <c r="J266">
        <v>0</v>
      </c>
      <c r="K266">
        <v>232000</v>
      </c>
      <c r="L266" s="2">
        <v>45962</v>
      </c>
    </row>
    <row r="267" spans="1:12" x14ac:dyDescent="0.25">
      <c r="A267" t="s">
        <v>300</v>
      </c>
      <c r="B267" s="1">
        <v>45987</v>
      </c>
      <c r="C267" t="s">
        <v>19</v>
      </c>
      <c r="D267" t="s">
        <v>20</v>
      </c>
      <c r="E267" t="s">
        <v>15</v>
      </c>
      <c r="F267" t="s">
        <v>16</v>
      </c>
      <c r="G267">
        <v>2</v>
      </c>
      <c r="H267" t="s">
        <v>23</v>
      </c>
      <c r="I267">
        <v>12500</v>
      </c>
      <c r="J267">
        <v>0</v>
      </c>
      <c r="K267">
        <v>25000</v>
      </c>
      <c r="L267" s="2">
        <v>45962</v>
      </c>
    </row>
    <row r="268" spans="1:12" x14ac:dyDescent="0.25">
      <c r="A268" t="s">
        <v>301</v>
      </c>
      <c r="B268" s="1">
        <v>45988</v>
      </c>
      <c r="C268" t="s">
        <v>25</v>
      </c>
      <c r="D268" t="s">
        <v>20</v>
      </c>
      <c r="E268" t="s">
        <v>15</v>
      </c>
      <c r="F268" t="s">
        <v>16</v>
      </c>
      <c r="G268">
        <v>6</v>
      </c>
      <c r="H268" t="s">
        <v>27</v>
      </c>
      <c r="I268">
        <v>2800</v>
      </c>
      <c r="J268">
        <v>0</v>
      </c>
      <c r="K268">
        <v>16800</v>
      </c>
      <c r="L268" s="2">
        <v>45962</v>
      </c>
    </row>
    <row r="269" spans="1:12" x14ac:dyDescent="0.25">
      <c r="A269" t="s">
        <v>302</v>
      </c>
      <c r="B269" s="1">
        <v>45989</v>
      </c>
      <c r="C269" t="s">
        <v>32</v>
      </c>
      <c r="D269" t="s">
        <v>29</v>
      </c>
      <c r="E269" t="s">
        <v>15</v>
      </c>
      <c r="F269" t="s">
        <v>22</v>
      </c>
      <c r="G269">
        <v>1</v>
      </c>
      <c r="H269" t="s">
        <v>27</v>
      </c>
      <c r="I269">
        <v>1900</v>
      </c>
      <c r="J269">
        <v>0.05</v>
      </c>
      <c r="K269">
        <v>1805</v>
      </c>
      <c r="L269" s="2">
        <v>45962</v>
      </c>
    </row>
    <row r="270" spans="1:12" x14ac:dyDescent="0.25">
      <c r="A270" t="s">
        <v>303</v>
      </c>
      <c r="B270" s="1">
        <v>45992</v>
      </c>
      <c r="C270" t="s">
        <v>19</v>
      </c>
      <c r="D270" t="s">
        <v>47</v>
      </c>
      <c r="E270" t="s">
        <v>15</v>
      </c>
      <c r="F270" t="s">
        <v>43</v>
      </c>
      <c r="G270">
        <v>3</v>
      </c>
      <c r="H270" t="s">
        <v>23</v>
      </c>
      <c r="I270">
        <v>12500</v>
      </c>
      <c r="J270">
        <v>0</v>
      </c>
      <c r="K270">
        <v>37500</v>
      </c>
      <c r="L270" s="2">
        <v>45992</v>
      </c>
    </row>
    <row r="271" spans="1:12" x14ac:dyDescent="0.25">
      <c r="A271" t="s">
        <v>304</v>
      </c>
      <c r="B271" s="1">
        <v>45993</v>
      </c>
      <c r="C271" t="s">
        <v>38</v>
      </c>
      <c r="D271" t="s">
        <v>14</v>
      </c>
      <c r="E271" t="s">
        <v>21</v>
      </c>
      <c r="F271" t="s">
        <v>30</v>
      </c>
      <c r="G271">
        <v>2</v>
      </c>
      <c r="H271" t="s">
        <v>17</v>
      </c>
      <c r="I271">
        <v>58000</v>
      </c>
      <c r="J271">
        <v>0</v>
      </c>
      <c r="K271">
        <v>116000</v>
      </c>
      <c r="L271" s="2">
        <v>45992</v>
      </c>
    </row>
    <row r="272" spans="1:12" x14ac:dyDescent="0.25">
      <c r="A272" t="s">
        <v>305</v>
      </c>
      <c r="B272" s="1">
        <v>46007</v>
      </c>
      <c r="C272" t="s">
        <v>38</v>
      </c>
      <c r="D272" t="s">
        <v>29</v>
      </c>
      <c r="E272" t="s">
        <v>15</v>
      </c>
      <c r="F272" t="s">
        <v>22</v>
      </c>
      <c r="G272">
        <v>4</v>
      </c>
      <c r="H272" t="s">
        <v>17</v>
      </c>
      <c r="I272">
        <v>58000</v>
      </c>
      <c r="J272">
        <v>0</v>
      </c>
      <c r="K272">
        <v>232000</v>
      </c>
      <c r="L272" s="2">
        <v>45992</v>
      </c>
    </row>
    <row r="273" spans="1:12" x14ac:dyDescent="0.25">
      <c r="A273" t="s">
        <v>306</v>
      </c>
      <c r="B273" s="1">
        <v>46007</v>
      </c>
      <c r="C273" t="s">
        <v>36</v>
      </c>
      <c r="D273" t="s">
        <v>20</v>
      </c>
      <c r="E273" t="s">
        <v>15</v>
      </c>
      <c r="F273" t="s">
        <v>33</v>
      </c>
      <c r="G273">
        <v>1</v>
      </c>
      <c r="H273" t="s">
        <v>23</v>
      </c>
      <c r="I273">
        <v>9200</v>
      </c>
      <c r="J273">
        <v>0</v>
      </c>
      <c r="K273">
        <v>9200</v>
      </c>
      <c r="L273" s="2">
        <v>45992</v>
      </c>
    </row>
    <row r="274" spans="1:12" x14ac:dyDescent="0.25">
      <c r="A274" t="s">
        <v>307</v>
      </c>
      <c r="B274" s="1">
        <v>46009</v>
      </c>
      <c r="C274" t="s">
        <v>46</v>
      </c>
      <c r="D274" t="s">
        <v>20</v>
      </c>
      <c r="E274" t="s">
        <v>15</v>
      </c>
      <c r="F274" t="s">
        <v>30</v>
      </c>
      <c r="G274">
        <v>4</v>
      </c>
      <c r="H274" t="s">
        <v>27</v>
      </c>
      <c r="I274">
        <v>850</v>
      </c>
      <c r="J274">
        <v>0</v>
      </c>
      <c r="K274">
        <v>3400</v>
      </c>
      <c r="L274" s="2">
        <v>45992</v>
      </c>
    </row>
    <row r="275" spans="1:12" x14ac:dyDescent="0.25">
      <c r="A275" t="s">
        <v>308</v>
      </c>
      <c r="B275" s="1">
        <v>46011</v>
      </c>
      <c r="C275" t="s">
        <v>36</v>
      </c>
      <c r="D275" t="s">
        <v>20</v>
      </c>
      <c r="E275" t="s">
        <v>15</v>
      </c>
      <c r="F275" t="s">
        <v>30</v>
      </c>
      <c r="G275">
        <v>4</v>
      </c>
      <c r="H275" t="s">
        <v>23</v>
      </c>
      <c r="I275">
        <v>9200</v>
      </c>
      <c r="J275">
        <v>0.1</v>
      </c>
      <c r="K275">
        <v>33120</v>
      </c>
      <c r="L275" s="2">
        <v>45992</v>
      </c>
    </row>
    <row r="276" spans="1:12" x14ac:dyDescent="0.25">
      <c r="A276" t="s">
        <v>309</v>
      </c>
      <c r="B276" s="1">
        <v>46011</v>
      </c>
      <c r="C276" t="s">
        <v>36</v>
      </c>
      <c r="D276" t="s">
        <v>29</v>
      </c>
      <c r="E276" t="s">
        <v>21</v>
      </c>
      <c r="F276" t="s">
        <v>22</v>
      </c>
      <c r="G276">
        <v>2</v>
      </c>
      <c r="H276" t="s">
        <v>23</v>
      </c>
      <c r="I276">
        <v>9200</v>
      </c>
      <c r="J276">
        <v>0.05</v>
      </c>
      <c r="K276">
        <v>17480</v>
      </c>
      <c r="L276" s="2">
        <v>45992</v>
      </c>
    </row>
    <row r="277" spans="1:12" x14ac:dyDescent="0.25">
      <c r="A277" t="s">
        <v>310</v>
      </c>
      <c r="B277" s="1">
        <v>46013</v>
      </c>
      <c r="C277" t="s">
        <v>13</v>
      </c>
      <c r="D277" t="s">
        <v>20</v>
      </c>
      <c r="E277" t="s">
        <v>21</v>
      </c>
      <c r="F277" t="s">
        <v>26</v>
      </c>
      <c r="G277">
        <v>5</v>
      </c>
      <c r="H277" t="s">
        <v>17</v>
      </c>
      <c r="I277">
        <v>26000</v>
      </c>
      <c r="J277">
        <v>0.15</v>
      </c>
      <c r="K277">
        <v>110500</v>
      </c>
      <c r="L277" s="2">
        <v>45992</v>
      </c>
    </row>
    <row r="278" spans="1:12" x14ac:dyDescent="0.25">
      <c r="A278" t="s">
        <v>311</v>
      </c>
      <c r="B278" s="1">
        <v>46013</v>
      </c>
      <c r="C278" t="s">
        <v>32</v>
      </c>
      <c r="D278" t="s">
        <v>29</v>
      </c>
      <c r="E278" t="s">
        <v>15</v>
      </c>
      <c r="F278" t="s">
        <v>26</v>
      </c>
      <c r="G278">
        <v>6</v>
      </c>
      <c r="H278" t="s">
        <v>27</v>
      </c>
      <c r="I278">
        <v>1900</v>
      </c>
      <c r="J278">
        <v>0.1</v>
      </c>
      <c r="K278">
        <v>10260</v>
      </c>
      <c r="L278" s="2">
        <v>45992</v>
      </c>
    </row>
    <row r="279" spans="1:12" x14ac:dyDescent="0.25">
      <c r="A279" t="s">
        <v>312</v>
      </c>
      <c r="B279" s="1">
        <v>46014</v>
      </c>
      <c r="C279" t="s">
        <v>25</v>
      </c>
      <c r="D279" t="s">
        <v>14</v>
      </c>
      <c r="E279" t="s">
        <v>15</v>
      </c>
      <c r="F279" t="s">
        <v>26</v>
      </c>
      <c r="G279">
        <v>2</v>
      </c>
      <c r="H279" t="s">
        <v>27</v>
      </c>
      <c r="I279">
        <v>2800</v>
      </c>
      <c r="J279">
        <v>0.05</v>
      </c>
      <c r="K279">
        <v>5320</v>
      </c>
      <c r="L279" s="2">
        <v>45992</v>
      </c>
    </row>
    <row r="280" spans="1:12" x14ac:dyDescent="0.25">
      <c r="A280" t="s">
        <v>313</v>
      </c>
      <c r="B280" s="1">
        <v>46014</v>
      </c>
      <c r="C280" t="s">
        <v>13</v>
      </c>
      <c r="D280" t="s">
        <v>29</v>
      </c>
      <c r="E280" t="s">
        <v>15</v>
      </c>
      <c r="F280" t="s">
        <v>22</v>
      </c>
      <c r="G280">
        <v>3</v>
      </c>
      <c r="H280" t="s">
        <v>17</v>
      </c>
      <c r="I280">
        <v>26000</v>
      </c>
      <c r="J280">
        <v>0</v>
      </c>
      <c r="K280">
        <v>78000</v>
      </c>
      <c r="L280" s="2">
        <v>45992</v>
      </c>
    </row>
    <row r="281" spans="1:12" x14ac:dyDescent="0.25">
      <c r="A281" t="s">
        <v>314</v>
      </c>
      <c r="B281" s="1">
        <v>46017</v>
      </c>
      <c r="C281" t="s">
        <v>46</v>
      </c>
      <c r="D281" t="s">
        <v>29</v>
      </c>
      <c r="E281" t="s">
        <v>21</v>
      </c>
      <c r="F281" t="s">
        <v>33</v>
      </c>
      <c r="G281">
        <v>3</v>
      </c>
      <c r="H281" t="s">
        <v>27</v>
      </c>
      <c r="I281">
        <v>850</v>
      </c>
      <c r="J281">
        <v>0.05</v>
      </c>
      <c r="K281">
        <v>2422.5</v>
      </c>
      <c r="L281" s="2">
        <v>45992</v>
      </c>
    </row>
    <row r="282" spans="1:12" x14ac:dyDescent="0.25">
      <c r="A282" t="s">
        <v>315</v>
      </c>
      <c r="B282" s="1">
        <v>46018</v>
      </c>
      <c r="C282" t="s">
        <v>36</v>
      </c>
      <c r="D282" t="s">
        <v>29</v>
      </c>
      <c r="E282" t="s">
        <v>21</v>
      </c>
      <c r="F282" t="s">
        <v>43</v>
      </c>
      <c r="G282">
        <v>4</v>
      </c>
      <c r="H282" t="s">
        <v>23</v>
      </c>
      <c r="I282">
        <v>9200</v>
      </c>
      <c r="J282">
        <v>0.1</v>
      </c>
      <c r="K282">
        <v>33120</v>
      </c>
      <c r="L282" s="2">
        <v>45992</v>
      </c>
    </row>
    <row r="283" spans="1:12" x14ac:dyDescent="0.25">
      <c r="A283" t="s">
        <v>316</v>
      </c>
      <c r="B283" s="1">
        <v>46018</v>
      </c>
      <c r="C283" t="s">
        <v>46</v>
      </c>
      <c r="D283" t="s">
        <v>29</v>
      </c>
      <c r="E283" t="s">
        <v>21</v>
      </c>
      <c r="F283" t="s">
        <v>22</v>
      </c>
      <c r="G283">
        <v>5</v>
      </c>
      <c r="H283" t="s">
        <v>27</v>
      </c>
      <c r="I283">
        <v>850</v>
      </c>
      <c r="J283">
        <v>0.1</v>
      </c>
      <c r="K283">
        <v>3825</v>
      </c>
      <c r="L283" s="2">
        <v>45992</v>
      </c>
    </row>
    <row r="284" spans="1:12" x14ac:dyDescent="0.25">
      <c r="A284" t="s">
        <v>317</v>
      </c>
      <c r="B284" s="1">
        <v>46021</v>
      </c>
      <c r="C284" t="s">
        <v>38</v>
      </c>
      <c r="D284" t="s">
        <v>20</v>
      </c>
      <c r="E284" t="s">
        <v>15</v>
      </c>
      <c r="F284" t="s">
        <v>43</v>
      </c>
      <c r="G284">
        <v>6</v>
      </c>
      <c r="H284" t="s">
        <v>17</v>
      </c>
      <c r="I284">
        <v>58000</v>
      </c>
      <c r="J284">
        <v>0.05</v>
      </c>
      <c r="K284">
        <v>330600</v>
      </c>
      <c r="L284" s="2">
        <v>45992</v>
      </c>
    </row>
    <row r="285" spans="1:12" x14ac:dyDescent="0.25">
      <c r="A285" t="s">
        <v>318</v>
      </c>
      <c r="B285" s="1">
        <v>46022</v>
      </c>
      <c r="C285" t="s">
        <v>38</v>
      </c>
      <c r="D285" t="s">
        <v>29</v>
      </c>
      <c r="E285" t="s">
        <v>15</v>
      </c>
      <c r="F285" t="s">
        <v>16</v>
      </c>
      <c r="G285">
        <v>4</v>
      </c>
      <c r="H285" t="s">
        <v>17</v>
      </c>
      <c r="I285">
        <v>58000</v>
      </c>
      <c r="J285">
        <v>0.1</v>
      </c>
      <c r="K285">
        <v>208800</v>
      </c>
      <c r="L285" s="2">
        <v>45992</v>
      </c>
    </row>
    <row r="286" spans="1:12" x14ac:dyDescent="0.25">
      <c r="A286" t="s">
        <v>319</v>
      </c>
      <c r="B286" s="1">
        <v>46023</v>
      </c>
      <c r="C286" t="s">
        <v>32</v>
      </c>
      <c r="D286" t="s">
        <v>14</v>
      </c>
      <c r="E286" t="s">
        <v>21</v>
      </c>
      <c r="F286" t="s">
        <v>30</v>
      </c>
      <c r="G286">
        <v>5</v>
      </c>
      <c r="H286" t="s">
        <v>27</v>
      </c>
      <c r="I286">
        <v>1900</v>
      </c>
      <c r="J286">
        <v>0.1</v>
      </c>
      <c r="K286">
        <v>8550</v>
      </c>
      <c r="L286" s="2">
        <v>46023</v>
      </c>
    </row>
    <row r="287" spans="1:12" x14ac:dyDescent="0.25">
      <c r="A287" t="s">
        <v>320</v>
      </c>
      <c r="B287" s="1">
        <v>46025</v>
      </c>
      <c r="C287" t="s">
        <v>46</v>
      </c>
      <c r="D287" t="s">
        <v>14</v>
      </c>
      <c r="E287" t="s">
        <v>15</v>
      </c>
      <c r="F287" t="s">
        <v>22</v>
      </c>
      <c r="G287">
        <v>4</v>
      </c>
      <c r="H287" t="s">
        <v>27</v>
      </c>
      <c r="I287">
        <v>850</v>
      </c>
      <c r="J287">
        <v>0.15</v>
      </c>
      <c r="K287">
        <v>2890</v>
      </c>
      <c r="L287" s="2">
        <v>46023</v>
      </c>
    </row>
    <row r="288" spans="1:12" x14ac:dyDescent="0.25">
      <c r="A288" t="s">
        <v>321</v>
      </c>
      <c r="B288" s="1">
        <v>46026</v>
      </c>
      <c r="C288" t="s">
        <v>32</v>
      </c>
      <c r="D288" t="s">
        <v>20</v>
      </c>
      <c r="E288" t="s">
        <v>15</v>
      </c>
      <c r="F288" t="s">
        <v>30</v>
      </c>
      <c r="G288">
        <v>3</v>
      </c>
      <c r="H288" t="s">
        <v>27</v>
      </c>
      <c r="I288">
        <v>1900</v>
      </c>
      <c r="J288">
        <v>0.1</v>
      </c>
      <c r="K288">
        <v>5130</v>
      </c>
      <c r="L288" s="2">
        <v>46023</v>
      </c>
    </row>
    <row r="289" spans="1:12" x14ac:dyDescent="0.25">
      <c r="A289" t="s">
        <v>322</v>
      </c>
      <c r="B289" s="1">
        <v>46030</v>
      </c>
      <c r="C289" t="s">
        <v>13</v>
      </c>
      <c r="D289" t="s">
        <v>20</v>
      </c>
      <c r="E289" t="s">
        <v>21</v>
      </c>
      <c r="F289" t="s">
        <v>43</v>
      </c>
      <c r="G289">
        <v>3</v>
      </c>
      <c r="H289" t="s">
        <v>17</v>
      </c>
      <c r="I289">
        <v>26000</v>
      </c>
      <c r="J289">
        <v>0</v>
      </c>
      <c r="K289">
        <v>78000</v>
      </c>
      <c r="L289" s="2">
        <v>46023</v>
      </c>
    </row>
    <row r="290" spans="1:12" x14ac:dyDescent="0.25">
      <c r="A290" t="s">
        <v>323</v>
      </c>
      <c r="B290" s="1">
        <v>46031</v>
      </c>
      <c r="C290" t="s">
        <v>13</v>
      </c>
      <c r="D290" t="s">
        <v>20</v>
      </c>
      <c r="E290" t="s">
        <v>21</v>
      </c>
      <c r="F290" t="s">
        <v>30</v>
      </c>
      <c r="G290">
        <v>1</v>
      </c>
      <c r="H290" t="s">
        <v>17</v>
      </c>
      <c r="I290">
        <v>26000</v>
      </c>
      <c r="J290">
        <v>0</v>
      </c>
      <c r="K290">
        <v>26000</v>
      </c>
      <c r="L290" s="2">
        <v>46023</v>
      </c>
    </row>
    <row r="291" spans="1:12" x14ac:dyDescent="0.25">
      <c r="A291" t="s">
        <v>324</v>
      </c>
      <c r="B291" s="1">
        <v>46032</v>
      </c>
      <c r="C291" t="s">
        <v>36</v>
      </c>
      <c r="D291" t="s">
        <v>29</v>
      </c>
      <c r="E291" t="s">
        <v>21</v>
      </c>
      <c r="F291" t="s">
        <v>33</v>
      </c>
      <c r="G291">
        <v>4</v>
      </c>
      <c r="H291" t="s">
        <v>23</v>
      </c>
      <c r="I291">
        <v>9200</v>
      </c>
      <c r="J291">
        <v>0</v>
      </c>
      <c r="K291">
        <v>36800</v>
      </c>
      <c r="L291" s="2">
        <v>46023</v>
      </c>
    </row>
    <row r="292" spans="1:12" x14ac:dyDescent="0.25">
      <c r="A292" t="s">
        <v>325</v>
      </c>
      <c r="B292" s="1">
        <v>46034</v>
      </c>
      <c r="C292" t="s">
        <v>25</v>
      </c>
      <c r="D292" t="s">
        <v>20</v>
      </c>
      <c r="E292" t="s">
        <v>21</v>
      </c>
      <c r="F292" t="s">
        <v>16</v>
      </c>
      <c r="G292">
        <v>4</v>
      </c>
      <c r="H292" t="s">
        <v>27</v>
      </c>
      <c r="I292">
        <v>2800</v>
      </c>
      <c r="J292">
        <v>0.05</v>
      </c>
      <c r="K292">
        <v>10640</v>
      </c>
      <c r="L292" s="2">
        <v>46023</v>
      </c>
    </row>
    <row r="293" spans="1:12" x14ac:dyDescent="0.25">
      <c r="A293" t="s">
        <v>326</v>
      </c>
      <c r="B293" s="1">
        <v>46035</v>
      </c>
      <c r="C293" t="s">
        <v>42</v>
      </c>
      <c r="D293" t="s">
        <v>29</v>
      </c>
      <c r="E293" t="s">
        <v>21</v>
      </c>
      <c r="F293" t="s">
        <v>16</v>
      </c>
      <c r="G293">
        <v>3</v>
      </c>
      <c r="H293" t="s">
        <v>17</v>
      </c>
      <c r="I293">
        <v>14500</v>
      </c>
      <c r="J293">
        <v>0.05</v>
      </c>
      <c r="K293">
        <v>41325</v>
      </c>
      <c r="L293" s="2">
        <v>46023</v>
      </c>
    </row>
    <row r="294" spans="1:12" x14ac:dyDescent="0.25">
      <c r="A294" t="s">
        <v>327</v>
      </c>
      <c r="B294" s="1">
        <v>46035</v>
      </c>
      <c r="C294" t="s">
        <v>32</v>
      </c>
      <c r="D294" t="s">
        <v>20</v>
      </c>
      <c r="E294" t="s">
        <v>15</v>
      </c>
      <c r="F294" t="s">
        <v>22</v>
      </c>
      <c r="G294">
        <v>4</v>
      </c>
      <c r="H294" t="s">
        <v>27</v>
      </c>
      <c r="I294">
        <v>1900</v>
      </c>
      <c r="J294">
        <v>0.05</v>
      </c>
      <c r="K294">
        <v>7220</v>
      </c>
      <c r="L294" s="2">
        <v>46023</v>
      </c>
    </row>
    <row r="295" spans="1:12" x14ac:dyDescent="0.25">
      <c r="A295" t="s">
        <v>328</v>
      </c>
      <c r="B295" s="1">
        <v>46037</v>
      </c>
      <c r="C295" t="s">
        <v>36</v>
      </c>
      <c r="D295" t="s">
        <v>47</v>
      </c>
      <c r="E295" t="s">
        <v>15</v>
      </c>
      <c r="F295" t="s">
        <v>22</v>
      </c>
      <c r="G295">
        <v>3</v>
      </c>
      <c r="H295" t="s">
        <v>23</v>
      </c>
      <c r="I295">
        <v>9200</v>
      </c>
      <c r="J295">
        <v>0</v>
      </c>
      <c r="K295">
        <v>27600</v>
      </c>
      <c r="L295" s="2">
        <v>46023</v>
      </c>
    </row>
    <row r="296" spans="1:12" x14ac:dyDescent="0.25">
      <c r="A296" t="s">
        <v>329</v>
      </c>
      <c r="B296" s="1">
        <v>46041</v>
      </c>
      <c r="C296" t="s">
        <v>38</v>
      </c>
      <c r="D296" t="s">
        <v>47</v>
      </c>
      <c r="E296" t="s">
        <v>15</v>
      </c>
      <c r="F296" t="s">
        <v>30</v>
      </c>
      <c r="G296">
        <v>6</v>
      </c>
      <c r="H296" t="s">
        <v>17</v>
      </c>
      <c r="I296">
        <v>58000</v>
      </c>
      <c r="J296">
        <v>0.05</v>
      </c>
      <c r="K296">
        <v>330600</v>
      </c>
      <c r="L296" s="2">
        <v>46023</v>
      </c>
    </row>
    <row r="297" spans="1:12" x14ac:dyDescent="0.25">
      <c r="A297" t="s">
        <v>330</v>
      </c>
      <c r="B297" s="1">
        <v>46043</v>
      </c>
      <c r="C297" t="s">
        <v>25</v>
      </c>
      <c r="D297" t="s">
        <v>47</v>
      </c>
      <c r="E297" t="s">
        <v>15</v>
      </c>
      <c r="F297" t="s">
        <v>43</v>
      </c>
      <c r="G297">
        <v>1</v>
      </c>
      <c r="H297" t="s">
        <v>27</v>
      </c>
      <c r="I297">
        <v>2800</v>
      </c>
      <c r="J297">
        <v>0.05</v>
      </c>
      <c r="K297">
        <v>2660</v>
      </c>
      <c r="L297" s="2">
        <v>46023</v>
      </c>
    </row>
    <row r="298" spans="1:12" x14ac:dyDescent="0.25">
      <c r="A298" t="s">
        <v>331</v>
      </c>
      <c r="B298" s="1">
        <v>46045</v>
      </c>
      <c r="C298" t="s">
        <v>19</v>
      </c>
      <c r="D298" t="s">
        <v>47</v>
      </c>
      <c r="E298" t="s">
        <v>21</v>
      </c>
      <c r="F298" t="s">
        <v>30</v>
      </c>
      <c r="G298">
        <v>6</v>
      </c>
      <c r="H298" t="s">
        <v>23</v>
      </c>
      <c r="I298">
        <v>12500</v>
      </c>
      <c r="J298">
        <v>0.1</v>
      </c>
      <c r="K298">
        <v>67500</v>
      </c>
      <c r="L298" s="2">
        <v>46023</v>
      </c>
    </row>
    <row r="299" spans="1:12" x14ac:dyDescent="0.25">
      <c r="A299" t="s">
        <v>332</v>
      </c>
      <c r="B299" s="1">
        <v>46046</v>
      </c>
      <c r="C299" t="s">
        <v>32</v>
      </c>
      <c r="D299" t="s">
        <v>14</v>
      </c>
      <c r="E299" t="s">
        <v>21</v>
      </c>
      <c r="F299" t="s">
        <v>30</v>
      </c>
      <c r="G299">
        <v>6</v>
      </c>
      <c r="H299" t="s">
        <v>27</v>
      </c>
      <c r="I299">
        <v>1900</v>
      </c>
      <c r="J299">
        <v>0</v>
      </c>
      <c r="K299">
        <v>11400</v>
      </c>
      <c r="L299" s="2">
        <v>46023</v>
      </c>
    </row>
    <row r="300" spans="1:12" x14ac:dyDescent="0.25">
      <c r="A300" t="s">
        <v>333</v>
      </c>
      <c r="B300" s="1">
        <v>46047</v>
      </c>
      <c r="C300" t="s">
        <v>25</v>
      </c>
      <c r="D300" t="s">
        <v>47</v>
      </c>
      <c r="E300" t="s">
        <v>21</v>
      </c>
      <c r="F300" t="s">
        <v>30</v>
      </c>
      <c r="G300">
        <v>4</v>
      </c>
      <c r="H300" t="s">
        <v>27</v>
      </c>
      <c r="I300">
        <v>2800</v>
      </c>
      <c r="J300">
        <v>0.05</v>
      </c>
      <c r="K300">
        <v>10640</v>
      </c>
      <c r="L300" s="2">
        <v>46023</v>
      </c>
    </row>
    <row r="301" spans="1:12" x14ac:dyDescent="0.25">
      <c r="A301" t="s">
        <v>334</v>
      </c>
      <c r="B301" s="1">
        <v>46048</v>
      </c>
      <c r="C301" t="s">
        <v>42</v>
      </c>
      <c r="D301" t="s">
        <v>14</v>
      </c>
      <c r="E301" t="s">
        <v>21</v>
      </c>
      <c r="F301" t="s">
        <v>30</v>
      </c>
      <c r="G301">
        <v>3</v>
      </c>
      <c r="H301" t="s">
        <v>17</v>
      </c>
      <c r="I301">
        <v>14500</v>
      </c>
      <c r="J301">
        <v>0.05</v>
      </c>
      <c r="K301">
        <v>41325</v>
      </c>
      <c r="L301" s="2">
        <v>46023</v>
      </c>
    </row>
    <row r="302" spans="1:12" x14ac:dyDescent="0.25">
      <c r="A302" t="s">
        <v>335</v>
      </c>
      <c r="B302" s="1">
        <v>46049</v>
      </c>
      <c r="C302" t="s">
        <v>42</v>
      </c>
      <c r="D302" t="s">
        <v>29</v>
      </c>
      <c r="E302" t="s">
        <v>15</v>
      </c>
      <c r="F302" t="s">
        <v>30</v>
      </c>
      <c r="G302">
        <v>5</v>
      </c>
      <c r="H302" t="s">
        <v>17</v>
      </c>
      <c r="I302">
        <v>14500</v>
      </c>
      <c r="J302">
        <v>0.05</v>
      </c>
      <c r="K302">
        <v>68875</v>
      </c>
      <c r="L302" s="2">
        <v>46023</v>
      </c>
    </row>
    <row r="303" spans="1:12" x14ac:dyDescent="0.25">
      <c r="A303" t="s">
        <v>336</v>
      </c>
      <c r="B303" s="1">
        <v>46049</v>
      </c>
      <c r="C303" t="s">
        <v>19</v>
      </c>
      <c r="D303" t="s">
        <v>20</v>
      </c>
      <c r="E303" t="s">
        <v>21</v>
      </c>
      <c r="F303" t="s">
        <v>16</v>
      </c>
      <c r="G303">
        <v>6</v>
      </c>
      <c r="H303" t="s">
        <v>23</v>
      </c>
      <c r="I303">
        <v>12500</v>
      </c>
      <c r="J303">
        <v>0</v>
      </c>
      <c r="K303">
        <v>75000</v>
      </c>
      <c r="L303" s="2">
        <v>46023</v>
      </c>
    </row>
    <row r="304" spans="1:12" x14ac:dyDescent="0.25">
      <c r="A304" t="s">
        <v>337</v>
      </c>
      <c r="B304" s="1">
        <v>46049</v>
      </c>
      <c r="C304" t="s">
        <v>46</v>
      </c>
      <c r="D304" t="s">
        <v>14</v>
      </c>
      <c r="E304" t="s">
        <v>15</v>
      </c>
      <c r="F304" t="s">
        <v>16</v>
      </c>
      <c r="G304">
        <v>6</v>
      </c>
      <c r="H304" t="s">
        <v>27</v>
      </c>
      <c r="I304">
        <v>850</v>
      </c>
      <c r="J304">
        <v>0.1</v>
      </c>
      <c r="K304">
        <v>4590</v>
      </c>
      <c r="L304" s="2">
        <v>46023</v>
      </c>
    </row>
    <row r="305" spans="1:12" x14ac:dyDescent="0.25">
      <c r="A305" t="s">
        <v>338</v>
      </c>
      <c r="B305" s="1">
        <v>46052</v>
      </c>
      <c r="C305" t="s">
        <v>19</v>
      </c>
      <c r="D305" t="s">
        <v>47</v>
      </c>
      <c r="E305" t="s">
        <v>15</v>
      </c>
      <c r="F305" t="s">
        <v>30</v>
      </c>
      <c r="G305">
        <v>5</v>
      </c>
      <c r="H305" t="s">
        <v>23</v>
      </c>
      <c r="I305">
        <v>12500</v>
      </c>
      <c r="J305">
        <v>0</v>
      </c>
      <c r="K305">
        <v>62500</v>
      </c>
      <c r="L305" s="2">
        <v>46023</v>
      </c>
    </row>
    <row r="306" spans="1:12" x14ac:dyDescent="0.25">
      <c r="A306" t="s">
        <v>339</v>
      </c>
      <c r="B306" s="1">
        <v>46052</v>
      </c>
      <c r="C306" t="s">
        <v>36</v>
      </c>
      <c r="D306" t="s">
        <v>20</v>
      </c>
      <c r="E306" t="s">
        <v>21</v>
      </c>
      <c r="F306" t="s">
        <v>30</v>
      </c>
      <c r="G306">
        <v>2</v>
      </c>
      <c r="H306" t="s">
        <v>23</v>
      </c>
      <c r="I306">
        <v>9200</v>
      </c>
      <c r="J306">
        <v>0.15</v>
      </c>
      <c r="K306">
        <v>15640</v>
      </c>
      <c r="L306" s="2">
        <v>46023</v>
      </c>
    </row>
    <row r="307" spans="1:12" x14ac:dyDescent="0.25">
      <c r="A307" t="s">
        <v>340</v>
      </c>
      <c r="B307" s="1">
        <v>46053</v>
      </c>
      <c r="C307" t="s">
        <v>46</v>
      </c>
      <c r="D307" t="s">
        <v>20</v>
      </c>
      <c r="E307" t="s">
        <v>21</v>
      </c>
      <c r="F307" t="s">
        <v>16</v>
      </c>
      <c r="G307">
        <v>6</v>
      </c>
      <c r="H307" t="s">
        <v>27</v>
      </c>
      <c r="I307">
        <v>850</v>
      </c>
      <c r="J307">
        <v>0.15</v>
      </c>
      <c r="K307">
        <v>4335</v>
      </c>
      <c r="L307" s="2">
        <v>46023</v>
      </c>
    </row>
    <row r="308" spans="1:12" x14ac:dyDescent="0.25">
      <c r="A308" t="s">
        <v>341</v>
      </c>
      <c r="B308" s="1">
        <v>46056</v>
      </c>
      <c r="C308" t="s">
        <v>13</v>
      </c>
      <c r="D308" t="s">
        <v>29</v>
      </c>
      <c r="E308" t="s">
        <v>15</v>
      </c>
      <c r="F308" t="s">
        <v>26</v>
      </c>
      <c r="G308">
        <v>3</v>
      </c>
      <c r="H308" t="s">
        <v>17</v>
      </c>
      <c r="I308">
        <v>26000</v>
      </c>
      <c r="J308">
        <v>0</v>
      </c>
      <c r="K308">
        <v>78000</v>
      </c>
      <c r="L308" s="2">
        <v>46054</v>
      </c>
    </row>
    <row r="309" spans="1:12" x14ac:dyDescent="0.25">
      <c r="A309" t="s">
        <v>342</v>
      </c>
      <c r="B309" s="1">
        <v>46058</v>
      </c>
      <c r="C309" t="s">
        <v>38</v>
      </c>
      <c r="D309" t="s">
        <v>14</v>
      </c>
      <c r="E309" t="s">
        <v>21</v>
      </c>
      <c r="F309" t="s">
        <v>33</v>
      </c>
      <c r="G309">
        <v>3</v>
      </c>
      <c r="H309" t="s">
        <v>17</v>
      </c>
      <c r="I309">
        <v>58000</v>
      </c>
      <c r="J309">
        <v>0</v>
      </c>
      <c r="K309">
        <v>174000</v>
      </c>
      <c r="L309" s="2">
        <v>46054</v>
      </c>
    </row>
    <row r="310" spans="1:12" x14ac:dyDescent="0.25">
      <c r="A310" t="s">
        <v>343</v>
      </c>
      <c r="B310" s="1">
        <v>46058</v>
      </c>
      <c r="C310" t="s">
        <v>13</v>
      </c>
      <c r="D310" t="s">
        <v>47</v>
      </c>
      <c r="E310" t="s">
        <v>21</v>
      </c>
      <c r="F310" t="s">
        <v>26</v>
      </c>
      <c r="G310">
        <v>1</v>
      </c>
      <c r="H310" t="s">
        <v>17</v>
      </c>
      <c r="I310">
        <v>26000</v>
      </c>
      <c r="J310">
        <v>0</v>
      </c>
      <c r="K310">
        <v>26000</v>
      </c>
      <c r="L310" s="2">
        <v>46054</v>
      </c>
    </row>
    <row r="311" spans="1:12" x14ac:dyDescent="0.25">
      <c r="A311" t="s">
        <v>344</v>
      </c>
      <c r="B311" s="1">
        <v>46058</v>
      </c>
      <c r="C311" t="s">
        <v>36</v>
      </c>
      <c r="D311" t="s">
        <v>29</v>
      </c>
      <c r="E311" t="s">
        <v>15</v>
      </c>
      <c r="F311" t="s">
        <v>26</v>
      </c>
      <c r="G311">
        <v>4</v>
      </c>
      <c r="H311" t="s">
        <v>23</v>
      </c>
      <c r="I311">
        <v>9200</v>
      </c>
      <c r="J311">
        <v>0.1</v>
      </c>
      <c r="K311">
        <v>33120</v>
      </c>
      <c r="L311" s="2">
        <v>46054</v>
      </c>
    </row>
    <row r="312" spans="1:12" x14ac:dyDescent="0.25">
      <c r="A312" t="s">
        <v>345</v>
      </c>
      <c r="B312" s="1">
        <v>46058</v>
      </c>
      <c r="C312" t="s">
        <v>46</v>
      </c>
      <c r="D312" t="s">
        <v>47</v>
      </c>
      <c r="E312" t="s">
        <v>21</v>
      </c>
      <c r="F312" t="s">
        <v>26</v>
      </c>
      <c r="G312">
        <v>5</v>
      </c>
      <c r="H312" t="s">
        <v>27</v>
      </c>
      <c r="I312">
        <v>850</v>
      </c>
      <c r="J312">
        <v>0.05</v>
      </c>
      <c r="K312">
        <v>4037.5</v>
      </c>
      <c r="L312" s="2">
        <v>46054</v>
      </c>
    </row>
    <row r="313" spans="1:12" x14ac:dyDescent="0.25">
      <c r="A313" t="s">
        <v>346</v>
      </c>
      <c r="B313" s="1">
        <v>46062</v>
      </c>
      <c r="C313" t="s">
        <v>46</v>
      </c>
      <c r="D313" t="s">
        <v>14</v>
      </c>
      <c r="E313" t="s">
        <v>15</v>
      </c>
      <c r="F313" t="s">
        <v>26</v>
      </c>
      <c r="G313">
        <v>3</v>
      </c>
      <c r="H313" t="s">
        <v>27</v>
      </c>
      <c r="I313">
        <v>850</v>
      </c>
      <c r="J313">
        <v>0.05</v>
      </c>
      <c r="K313">
        <v>2422.5</v>
      </c>
      <c r="L313" s="2">
        <v>46054</v>
      </c>
    </row>
    <row r="314" spans="1:12" x14ac:dyDescent="0.25">
      <c r="A314" t="s">
        <v>347</v>
      </c>
      <c r="B314" s="1">
        <v>46063</v>
      </c>
      <c r="C314" t="s">
        <v>25</v>
      </c>
      <c r="D314" t="s">
        <v>14</v>
      </c>
      <c r="E314" t="s">
        <v>21</v>
      </c>
      <c r="F314" t="s">
        <v>33</v>
      </c>
      <c r="G314">
        <v>1</v>
      </c>
      <c r="H314" t="s">
        <v>27</v>
      </c>
      <c r="I314">
        <v>2800</v>
      </c>
      <c r="J314">
        <v>0</v>
      </c>
      <c r="K314">
        <v>2800</v>
      </c>
      <c r="L314" s="2">
        <v>46054</v>
      </c>
    </row>
    <row r="315" spans="1:12" x14ac:dyDescent="0.25">
      <c r="A315" t="s">
        <v>348</v>
      </c>
      <c r="B315" s="1">
        <v>46063</v>
      </c>
      <c r="C315" t="s">
        <v>46</v>
      </c>
      <c r="D315" t="s">
        <v>20</v>
      </c>
      <c r="E315" t="s">
        <v>15</v>
      </c>
      <c r="F315" t="s">
        <v>30</v>
      </c>
      <c r="G315">
        <v>4</v>
      </c>
      <c r="H315" t="s">
        <v>27</v>
      </c>
      <c r="I315">
        <v>850</v>
      </c>
      <c r="J315">
        <v>0.1</v>
      </c>
      <c r="K315">
        <v>3060</v>
      </c>
      <c r="L315" s="2">
        <v>46054</v>
      </c>
    </row>
    <row r="316" spans="1:12" x14ac:dyDescent="0.25">
      <c r="A316" t="s">
        <v>349</v>
      </c>
      <c r="B316" s="1">
        <v>46064</v>
      </c>
      <c r="C316" t="s">
        <v>46</v>
      </c>
      <c r="D316" t="s">
        <v>29</v>
      </c>
      <c r="E316" t="s">
        <v>15</v>
      </c>
      <c r="F316" t="s">
        <v>22</v>
      </c>
      <c r="G316">
        <v>1</v>
      </c>
      <c r="H316" t="s">
        <v>27</v>
      </c>
      <c r="I316">
        <v>850</v>
      </c>
      <c r="J316">
        <v>0.05</v>
      </c>
      <c r="K316">
        <v>807.5</v>
      </c>
      <c r="L316" s="2">
        <v>46054</v>
      </c>
    </row>
    <row r="317" spans="1:12" x14ac:dyDescent="0.25">
      <c r="A317" t="s">
        <v>350</v>
      </c>
      <c r="B317" s="1">
        <v>46064</v>
      </c>
      <c r="C317" t="s">
        <v>46</v>
      </c>
      <c r="D317" t="s">
        <v>20</v>
      </c>
      <c r="E317" t="s">
        <v>15</v>
      </c>
      <c r="F317" t="s">
        <v>22</v>
      </c>
      <c r="G317">
        <v>5</v>
      </c>
      <c r="H317" t="s">
        <v>27</v>
      </c>
      <c r="I317">
        <v>850</v>
      </c>
      <c r="J317">
        <v>0.05</v>
      </c>
      <c r="K317">
        <v>4037.5</v>
      </c>
      <c r="L317" s="2">
        <v>46054</v>
      </c>
    </row>
    <row r="318" spans="1:12" x14ac:dyDescent="0.25">
      <c r="A318" t="s">
        <v>351</v>
      </c>
      <c r="B318" s="1">
        <v>46067</v>
      </c>
      <c r="C318" t="s">
        <v>19</v>
      </c>
      <c r="D318" t="s">
        <v>14</v>
      </c>
      <c r="E318" t="s">
        <v>15</v>
      </c>
      <c r="F318" t="s">
        <v>22</v>
      </c>
      <c r="G318">
        <v>2</v>
      </c>
      <c r="H318" t="s">
        <v>23</v>
      </c>
      <c r="I318">
        <v>12500</v>
      </c>
      <c r="J318">
        <v>0</v>
      </c>
      <c r="K318">
        <v>25000</v>
      </c>
      <c r="L318" s="2">
        <v>46054</v>
      </c>
    </row>
    <row r="319" spans="1:12" x14ac:dyDescent="0.25">
      <c r="A319" t="s">
        <v>352</v>
      </c>
      <c r="B319" s="1">
        <v>46069</v>
      </c>
      <c r="C319" t="s">
        <v>38</v>
      </c>
      <c r="D319" t="s">
        <v>47</v>
      </c>
      <c r="E319" t="s">
        <v>15</v>
      </c>
      <c r="F319" t="s">
        <v>16</v>
      </c>
      <c r="G319">
        <v>5</v>
      </c>
      <c r="H319" t="s">
        <v>17</v>
      </c>
      <c r="I319">
        <v>58000</v>
      </c>
      <c r="J319">
        <v>0.1</v>
      </c>
      <c r="K319">
        <v>261000</v>
      </c>
      <c r="L319" s="2">
        <v>46054</v>
      </c>
    </row>
    <row r="320" spans="1:12" x14ac:dyDescent="0.25">
      <c r="A320" t="s">
        <v>353</v>
      </c>
      <c r="B320" s="1">
        <v>46070</v>
      </c>
      <c r="C320" t="s">
        <v>19</v>
      </c>
      <c r="D320" t="s">
        <v>29</v>
      </c>
      <c r="E320" t="s">
        <v>21</v>
      </c>
      <c r="F320" t="s">
        <v>16</v>
      </c>
      <c r="G320">
        <v>3</v>
      </c>
      <c r="H320" t="s">
        <v>23</v>
      </c>
      <c r="I320">
        <v>12500</v>
      </c>
      <c r="J320">
        <v>0.1</v>
      </c>
      <c r="K320">
        <v>33750</v>
      </c>
      <c r="L320" s="2">
        <v>46054</v>
      </c>
    </row>
    <row r="321" spans="1:12" x14ac:dyDescent="0.25">
      <c r="A321" t="s">
        <v>354</v>
      </c>
      <c r="B321" s="1">
        <v>46070</v>
      </c>
      <c r="C321" t="s">
        <v>25</v>
      </c>
      <c r="D321" t="s">
        <v>14</v>
      </c>
      <c r="E321" t="s">
        <v>15</v>
      </c>
      <c r="F321" t="s">
        <v>22</v>
      </c>
      <c r="G321">
        <v>1</v>
      </c>
      <c r="H321" t="s">
        <v>27</v>
      </c>
      <c r="I321">
        <v>2800</v>
      </c>
      <c r="J321">
        <v>0.15</v>
      </c>
      <c r="K321">
        <v>2380</v>
      </c>
      <c r="L321" s="2">
        <v>46054</v>
      </c>
    </row>
    <row r="322" spans="1:12" x14ac:dyDescent="0.25">
      <c r="A322" t="s">
        <v>355</v>
      </c>
      <c r="B322" s="1">
        <v>46072</v>
      </c>
      <c r="C322" t="s">
        <v>38</v>
      </c>
      <c r="D322" t="s">
        <v>29</v>
      </c>
      <c r="E322" t="s">
        <v>15</v>
      </c>
      <c r="F322" t="s">
        <v>26</v>
      </c>
      <c r="G322">
        <v>4</v>
      </c>
      <c r="H322" t="s">
        <v>17</v>
      </c>
      <c r="I322">
        <v>58000</v>
      </c>
      <c r="J322">
        <v>0.15</v>
      </c>
      <c r="K322">
        <v>197200</v>
      </c>
      <c r="L322" s="2">
        <v>46054</v>
      </c>
    </row>
    <row r="323" spans="1:12" x14ac:dyDescent="0.25">
      <c r="A323" t="s">
        <v>356</v>
      </c>
      <c r="B323" s="1">
        <v>46073</v>
      </c>
      <c r="C323" t="s">
        <v>42</v>
      </c>
      <c r="D323" t="s">
        <v>20</v>
      </c>
      <c r="E323" t="s">
        <v>15</v>
      </c>
      <c r="F323" t="s">
        <v>33</v>
      </c>
      <c r="G323">
        <v>2</v>
      </c>
      <c r="H323" t="s">
        <v>17</v>
      </c>
      <c r="I323">
        <v>14500</v>
      </c>
      <c r="J323">
        <v>0.05</v>
      </c>
      <c r="K323">
        <v>27550</v>
      </c>
      <c r="L323" s="2">
        <v>46054</v>
      </c>
    </row>
    <row r="324" spans="1:12" x14ac:dyDescent="0.25">
      <c r="A324" t="s">
        <v>357</v>
      </c>
      <c r="B324" s="1">
        <v>46076</v>
      </c>
      <c r="C324" t="s">
        <v>19</v>
      </c>
      <c r="D324" t="s">
        <v>14</v>
      </c>
      <c r="E324" t="s">
        <v>15</v>
      </c>
      <c r="F324" t="s">
        <v>30</v>
      </c>
      <c r="G324">
        <v>3</v>
      </c>
      <c r="H324" t="s">
        <v>23</v>
      </c>
      <c r="I324">
        <v>12500</v>
      </c>
      <c r="J324">
        <v>0.05</v>
      </c>
      <c r="K324">
        <v>35625</v>
      </c>
      <c r="L324" s="2">
        <v>46054</v>
      </c>
    </row>
    <row r="325" spans="1:12" x14ac:dyDescent="0.25">
      <c r="A325" t="s">
        <v>358</v>
      </c>
      <c r="B325" s="1">
        <v>46078</v>
      </c>
      <c r="C325" t="s">
        <v>42</v>
      </c>
      <c r="D325" t="s">
        <v>14</v>
      </c>
      <c r="E325" t="s">
        <v>15</v>
      </c>
      <c r="F325" t="s">
        <v>33</v>
      </c>
      <c r="G325">
        <v>6</v>
      </c>
      <c r="H325" t="s">
        <v>17</v>
      </c>
      <c r="I325">
        <v>14500</v>
      </c>
      <c r="J325">
        <v>0.05</v>
      </c>
      <c r="K325">
        <v>82650</v>
      </c>
      <c r="L325" s="2">
        <v>46054</v>
      </c>
    </row>
    <row r="326" spans="1:12" x14ac:dyDescent="0.25">
      <c r="A326" t="s">
        <v>359</v>
      </c>
      <c r="B326" s="1">
        <v>46081</v>
      </c>
      <c r="C326" t="s">
        <v>36</v>
      </c>
      <c r="D326" t="s">
        <v>20</v>
      </c>
      <c r="E326" t="s">
        <v>15</v>
      </c>
      <c r="F326" t="s">
        <v>43</v>
      </c>
      <c r="G326">
        <v>6</v>
      </c>
      <c r="H326" t="s">
        <v>23</v>
      </c>
      <c r="I326">
        <v>9200</v>
      </c>
      <c r="J326">
        <v>0</v>
      </c>
      <c r="K326">
        <v>55200</v>
      </c>
      <c r="L326" s="2">
        <v>46054</v>
      </c>
    </row>
    <row r="327" spans="1:12" x14ac:dyDescent="0.25">
      <c r="A327" t="s">
        <v>360</v>
      </c>
      <c r="B327" s="1">
        <v>46081</v>
      </c>
      <c r="C327" t="s">
        <v>36</v>
      </c>
      <c r="D327" t="s">
        <v>14</v>
      </c>
      <c r="E327" t="s">
        <v>21</v>
      </c>
      <c r="F327" t="s">
        <v>33</v>
      </c>
      <c r="G327">
        <v>1</v>
      </c>
      <c r="H327" t="s">
        <v>23</v>
      </c>
      <c r="I327">
        <v>9200</v>
      </c>
      <c r="J327">
        <v>0.1</v>
      </c>
      <c r="K327">
        <v>8280</v>
      </c>
      <c r="L327" s="2">
        <v>46054</v>
      </c>
    </row>
    <row r="328" spans="1:12" x14ac:dyDescent="0.25">
      <c r="A328" t="s">
        <v>361</v>
      </c>
      <c r="B328" s="1">
        <v>46082</v>
      </c>
      <c r="C328" t="s">
        <v>38</v>
      </c>
      <c r="D328" t="s">
        <v>29</v>
      </c>
      <c r="E328" t="s">
        <v>15</v>
      </c>
      <c r="F328" t="s">
        <v>43</v>
      </c>
      <c r="G328">
        <v>5</v>
      </c>
      <c r="H328" t="s">
        <v>17</v>
      </c>
      <c r="I328">
        <v>58000</v>
      </c>
      <c r="J328">
        <v>0.1</v>
      </c>
      <c r="K328">
        <v>261000</v>
      </c>
      <c r="L328" s="2">
        <v>46082</v>
      </c>
    </row>
    <row r="329" spans="1:12" x14ac:dyDescent="0.25">
      <c r="A329" t="s">
        <v>362</v>
      </c>
      <c r="B329" s="1">
        <v>46088</v>
      </c>
      <c r="C329" t="s">
        <v>42</v>
      </c>
      <c r="D329" t="s">
        <v>47</v>
      </c>
      <c r="E329" t="s">
        <v>15</v>
      </c>
      <c r="F329" t="s">
        <v>16</v>
      </c>
      <c r="G329">
        <v>5</v>
      </c>
      <c r="H329" t="s">
        <v>17</v>
      </c>
      <c r="I329">
        <v>14500</v>
      </c>
      <c r="J329">
        <v>0.05</v>
      </c>
      <c r="K329">
        <v>68875</v>
      </c>
      <c r="L329" s="2">
        <v>46082</v>
      </c>
    </row>
    <row r="330" spans="1:12" x14ac:dyDescent="0.25">
      <c r="A330" t="s">
        <v>363</v>
      </c>
      <c r="B330" s="1">
        <v>46088</v>
      </c>
      <c r="C330" t="s">
        <v>25</v>
      </c>
      <c r="D330" t="s">
        <v>29</v>
      </c>
      <c r="E330" t="s">
        <v>21</v>
      </c>
      <c r="F330" t="s">
        <v>30</v>
      </c>
      <c r="G330">
        <v>5</v>
      </c>
      <c r="H330" t="s">
        <v>27</v>
      </c>
      <c r="I330">
        <v>2800</v>
      </c>
      <c r="J330">
        <v>0</v>
      </c>
      <c r="K330">
        <v>14000</v>
      </c>
      <c r="L330" s="2">
        <v>46082</v>
      </c>
    </row>
    <row r="331" spans="1:12" x14ac:dyDescent="0.25">
      <c r="A331" t="s">
        <v>364</v>
      </c>
      <c r="B331" s="1">
        <v>46088</v>
      </c>
      <c r="C331" t="s">
        <v>46</v>
      </c>
      <c r="D331" t="s">
        <v>20</v>
      </c>
      <c r="E331" t="s">
        <v>21</v>
      </c>
      <c r="F331" t="s">
        <v>16</v>
      </c>
      <c r="G331">
        <v>5</v>
      </c>
      <c r="H331" t="s">
        <v>27</v>
      </c>
      <c r="I331">
        <v>850</v>
      </c>
      <c r="J331">
        <v>0.15</v>
      </c>
      <c r="K331">
        <v>3612.5</v>
      </c>
      <c r="L331" s="2">
        <v>46082</v>
      </c>
    </row>
    <row r="332" spans="1:12" x14ac:dyDescent="0.25">
      <c r="A332" t="s">
        <v>365</v>
      </c>
      <c r="B332" s="1">
        <v>46090</v>
      </c>
      <c r="C332" t="s">
        <v>32</v>
      </c>
      <c r="D332" t="s">
        <v>14</v>
      </c>
      <c r="E332" t="s">
        <v>15</v>
      </c>
      <c r="F332" t="s">
        <v>43</v>
      </c>
      <c r="G332">
        <v>6</v>
      </c>
      <c r="H332" t="s">
        <v>27</v>
      </c>
      <c r="I332">
        <v>1900</v>
      </c>
      <c r="J332">
        <v>0.05</v>
      </c>
      <c r="K332">
        <v>10830</v>
      </c>
      <c r="L332" s="2">
        <v>46082</v>
      </c>
    </row>
    <row r="333" spans="1:12" x14ac:dyDescent="0.25">
      <c r="A333" t="s">
        <v>366</v>
      </c>
      <c r="B333" s="1">
        <v>46091</v>
      </c>
      <c r="C333" t="s">
        <v>38</v>
      </c>
      <c r="D333" t="s">
        <v>14</v>
      </c>
      <c r="E333" t="s">
        <v>21</v>
      </c>
      <c r="F333" t="s">
        <v>26</v>
      </c>
      <c r="G333">
        <v>3</v>
      </c>
      <c r="H333" t="s">
        <v>17</v>
      </c>
      <c r="I333">
        <v>58000</v>
      </c>
      <c r="J333">
        <v>0</v>
      </c>
      <c r="K333">
        <v>174000</v>
      </c>
      <c r="L333" s="2">
        <v>46082</v>
      </c>
    </row>
    <row r="334" spans="1:12" x14ac:dyDescent="0.25">
      <c r="A334" t="s">
        <v>367</v>
      </c>
      <c r="B334" s="1">
        <v>46093</v>
      </c>
      <c r="C334" t="s">
        <v>38</v>
      </c>
      <c r="D334" t="s">
        <v>47</v>
      </c>
      <c r="E334" t="s">
        <v>15</v>
      </c>
      <c r="F334" t="s">
        <v>33</v>
      </c>
      <c r="G334">
        <v>1</v>
      </c>
      <c r="H334" t="s">
        <v>17</v>
      </c>
      <c r="I334">
        <v>58000</v>
      </c>
      <c r="J334">
        <v>0.1</v>
      </c>
      <c r="K334">
        <v>52200</v>
      </c>
      <c r="L334" s="2">
        <v>46082</v>
      </c>
    </row>
    <row r="335" spans="1:12" x14ac:dyDescent="0.25">
      <c r="A335" t="s">
        <v>368</v>
      </c>
      <c r="B335" s="1">
        <v>46095</v>
      </c>
      <c r="C335" t="s">
        <v>38</v>
      </c>
      <c r="D335" t="s">
        <v>47</v>
      </c>
      <c r="E335" t="s">
        <v>15</v>
      </c>
      <c r="F335" t="s">
        <v>26</v>
      </c>
      <c r="G335">
        <v>2</v>
      </c>
      <c r="H335" t="s">
        <v>17</v>
      </c>
      <c r="I335">
        <v>58000</v>
      </c>
      <c r="J335">
        <v>0</v>
      </c>
      <c r="K335">
        <v>116000</v>
      </c>
      <c r="L335" s="2">
        <v>46082</v>
      </c>
    </row>
    <row r="336" spans="1:12" x14ac:dyDescent="0.25">
      <c r="A336" t="s">
        <v>369</v>
      </c>
      <c r="B336" s="1">
        <v>46097</v>
      </c>
      <c r="C336" t="s">
        <v>25</v>
      </c>
      <c r="D336" t="s">
        <v>29</v>
      </c>
      <c r="E336" t="s">
        <v>15</v>
      </c>
      <c r="F336" t="s">
        <v>43</v>
      </c>
      <c r="G336">
        <v>2</v>
      </c>
      <c r="H336" t="s">
        <v>27</v>
      </c>
      <c r="I336">
        <v>2800</v>
      </c>
      <c r="J336">
        <v>0.15</v>
      </c>
      <c r="K336">
        <v>4760</v>
      </c>
      <c r="L336" s="2">
        <v>46082</v>
      </c>
    </row>
    <row r="337" spans="1:12" x14ac:dyDescent="0.25">
      <c r="A337" t="s">
        <v>370</v>
      </c>
      <c r="B337" s="1">
        <v>46098</v>
      </c>
      <c r="C337" t="s">
        <v>46</v>
      </c>
      <c r="D337" t="s">
        <v>29</v>
      </c>
      <c r="E337" t="s">
        <v>21</v>
      </c>
      <c r="F337" t="s">
        <v>16</v>
      </c>
      <c r="G337">
        <v>4</v>
      </c>
      <c r="H337" t="s">
        <v>27</v>
      </c>
      <c r="I337">
        <v>850</v>
      </c>
      <c r="J337">
        <v>0.05</v>
      </c>
      <c r="K337">
        <v>3230</v>
      </c>
      <c r="L337" s="2">
        <v>46082</v>
      </c>
    </row>
    <row r="338" spans="1:12" x14ac:dyDescent="0.25">
      <c r="A338" t="s">
        <v>371</v>
      </c>
      <c r="B338" s="1">
        <v>46098</v>
      </c>
      <c r="C338" t="s">
        <v>36</v>
      </c>
      <c r="D338" t="s">
        <v>14</v>
      </c>
      <c r="E338" t="s">
        <v>21</v>
      </c>
      <c r="F338" t="s">
        <v>16</v>
      </c>
      <c r="G338">
        <v>3</v>
      </c>
      <c r="H338" t="s">
        <v>23</v>
      </c>
      <c r="I338">
        <v>9200</v>
      </c>
      <c r="J338">
        <v>0.1</v>
      </c>
      <c r="K338">
        <v>24840</v>
      </c>
      <c r="L338" s="2">
        <v>46082</v>
      </c>
    </row>
    <row r="339" spans="1:12" x14ac:dyDescent="0.25">
      <c r="A339" t="s">
        <v>372</v>
      </c>
      <c r="B339" s="1">
        <v>46098</v>
      </c>
      <c r="C339" t="s">
        <v>32</v>
      </c>
      <c r="D339" t="s">
        <v>14</v>
      </c>
      <c r="E339" t="s">
        <v>21</v>
      </c>
      <c r="F339" t="s">
        <v>16</v>
      </c>
      <c r="G339">
        <v>5</v>
      </c>
      <c r="H339" t="s">
        <v>27</v>
      </c>
      <c r="I339">
        <v>1900</v>
      </c>
      <c r="J339">
        <v>0</v>
      </c>
      <c r="K339">
        <v>9500</v>
      </c>
      <c r="L339" s="2">
        <v>46082</v>
      </c>
    </row>
    <row r="340" spans="1:12" x14ac:dyDescent="0.25">
      <c r="A340" t="s">
        <v>373</v>
      </c>
      <c r="B340" s="1">
        <v>46101</v>
      </c>
      <c r="C340" t="s">
        <v>32</v>
      </c>
      <c r="D340" t="s">
        <v>47</v>
      </c>
      <c r="E340" t="s">
        <v>15</v>
      </c>
      <c r="F340" t="s">
        <v>26</v>
      </c>
      <c r="G340">
        <v>2</v>
      </c>
      <c r="H340" t="s">
        <v>27</v>
      </c>
      <c r="I340">
        <v>1900</v>
      </c>
      <c r="J340">
        <v>0</v>
      </c>
      <c r="K340">
        <v>3800</v>
      </c>
      <c r="L340" s="2">
        <v>46082</v>
      </c>
    </row>
    <row r="341" spans="1:12" x14ac:dyDescent="0.25">
      <c r="A341" t="s">
        <v>374</v>
      </c>
      <c r="B341" s="1">
        <v>46101</v>
      </c>
      <c r="C341" t="s">
        <v>38</v>
      </c>
      <c r="D341" t="s">
        <v>20</v>
      </c>
      <c r="E341" t="s">
        <v>15</v>
      </c>
      <c r="F341" t="s">
        <v>43</v>
      </c>
      <c r="G341">
        <v>4</v>
      </c>
      <c r="H341" t="s">
        <v>17</v>
      </c>
      <c r="I341">
        <v>58000</v>
      </c>
      <c r="J341">
        <v>0.05</v>
      </c>
      <c r="K341">
        <v>220400</v>
      </c>
      <c r="L341" s="2">
        <v>46082</v>
      </c>
    </row>
    <row r="342" spans="1:12" x14ac:dyDescent="0.25">
      <c r="A342" t="s">
        <v>375</v>
      </c>
      <c r="B342" s="1">
        <v>46110</v>
      </c>
      <c r="C342" t="s">
        <v>13</v>
      </c>
      <c r="D342" t="s">
        <v>20</v>
      </c>
      <c r="E342" t="s">
        <v>15</v>
      </c>
      <c r="F342" t="s">
        <v>26</v>
      </c>
      <c r="G342">
        <v>4</v>
      </c>
      <c r="H342" t="s">
        <v>17</v>
      </c>
      <c r="I342">
        <v>26000</v>
      </c>
      <c r="J342">
        <v>0.1</v>
      </c>
      <c r="K342">
        <v>93600</v>
      </c>
      <c r="L342" s="2">
        <v>46082</v>
      </c>
    </row>
    <row r="343" spans="1:12" x14ac:dyDescent="0.25">
      <c r="A343" t="s">
        <v>376</v>
      </c>
      <c r="B343" s="1">
        <v>46111</v>
      </c>
      <c r="C343" t="s">
        <v>36</v>
      </c>
      <c r="D343" t="s">
        <v>29</v>
      </c>
      <c r="E343" t="s">
        <v>15</v>
      </c>
      <c r="F343" t="s">
        <v>33</v>
      </c>
      <c r="G343">
        <v>5</v>
      </c>
      <c r="H343" t="s">
        <v>23</v>
      </c>
      <c r="I343">
        <v>9200</v>
      </c>
      <c r="J343">
        <v>0.05</v>
      </c>
      <c r="K343">
        <v>43700</v>
      </c>
      <c r="L343" s="2">
        <v>46082</v>
      </c>
    </row>
    <row r="344" spans="1:12" x14ac:dyDescent="0.25">
      <c r="A344" t="s">
        <v>377</v>
      </c>
      <c r="B344" s="1">
        <v>46111</v>
      </c>
      <c r="C344" t="s">
        <v>32</v>
      </c>
      <c r="D344" t="s">
        <v>14</v>
      </c>
      <c r="E344" t="s">
        <v>21</v>
      </c>
      <c r="F344" t="s">
        <v>33</v>
      </c>
      <c r="G344">
        <v>1</v>
      </c>
      <c r="H344" t="s">
        <v>27</v>
      </c>
      <c r="I344">
        <v>1900</v>
      </c>
      <c r="J344">
        <v>0</v>
      </c>
      <c r="K344">
        <v>1900</v>
      </c>
      <c r="L344" s="2">
        <v>46082</v>
      </c>
    </row>
    <row r="345" spans="1:12" x14ac:dyDescent="0.25">
      <c r="A345" t="s">
        <v>378</v>
      </c>
      <c r="B345" s="1">
        <v>46111</v>
      </c>
      <c r="C345" t="s">
        <v>25</v>
      </c>
      <c r="D345" t="s">
        <v>20</v>
      </c>
      <c r="E345" t="s">
        <v>15</v>
      </c>
      <c r="F345" t="s">
        <v>26</v>
      </c>
      <c r="G345">
        <v>4</v>
      </c>
      <c r="H345" t="s">
        <v>27</v>
      </c>
      <c r="I345">
        <v>2800</v>
      </c>
      <c r="J345">
        <v>0.05</v>
      </c>
      <c r="K345">
        <v>10640</v>
      </c>
      <c r="L345" s="2">
        <v>46082</v>
      </c>
    </row>
    <row r="346" spans="1:12" x14ac:dyDescent="0.25">
      <c r="A346" t="s">
        <v>379</v>
      </c>
      <c r="B346" s="1">
        <v>46112</v>
      </c>
      <c r="C346" t="s">
        <v>36</v>
      </c>
      <c r="D346" t="s">
        <v>20</v>
      </c>
      <c r="E346" t="s">
        <v>21</v>
      </c>
      <c r="F346" t="s">
        <v>22</v>
      </c>
      <c r="G346">
        <v>2</v>
      </c>
      <c r="H346" t="s">
        <v>23</v>
      </c>
      <c r="I346">
        <v>9200</v>
      </c>
      <c r="J346">
        <v>0.1</v>
      </c>
      <c r="K346">
        <v>16560</v>
      </c>
      <c r="L346" s="2">
        <v>46082</v>
      </c>
    </row>
    <row r="347" spans="1:12" x14ac:dyDescent="0.25">
      <c r="A347" t="s">
        <v>380</v>
      </c>
      <c r="B347" s="1">
        <v>46112</v>
      </c>
      <c r="C347" t="s">
        <v>36</v>
      </c>
      <c r="D347" t="s">
        <v>29</v>
      </c>
      <c r="E347" t="s">
        <v>15</v>
      </c>
      <c r="F347" t="s">
        <v>26</v>
      </c>
      <c r="G347">
        <v>4</v>
      </c>
      <c r="H347" t="s">
        <v>23</v>
      </c>
      <c r="I347">
        <v>9200</v>
      </c>
      <c r="J347">
        <v>0</v>
      </c>
      <c r="K347">
        <v>36800</v>
      </c>
      <c r="L347" s="2">
        <v>46082</v>
      </c>
    </row>
    <row r="348" spans="1:12" x14ac:dyDescent="0.25">
      <c r="A348" t="s">
        <v>381</v>
      </c>
      <c r="B348" s="1">
        <v>46112</v>
      </c>
      <c r="C348" t="s">
        <v>25</v>
      </c>
      <c r="D348" t="s">
        <v>29</v>
      </c>
      <c r="E348" t="s">
        <v>21</v>
      </c>
      <c r="F348" t="s">
        <v>16</v>
      </c>
      <c r="G348">
        <v>2</v>
      </c>
      <c r="H348" t="s">
        <v>27</v>
      </c>
      <c r="I348">
        <v>2800</v>
      </c>
      <c r="J348">
        <v>0.05</v>
      </c>
      <c r="K348">
        <v>5320</v>
      </c>
      <c r="L348" s="2">
        <v>46082</v>
      </c>
    </row>
    <row r="349" spans="1:12" x14ac:dyDescent="0.25">
      <c r="A349" t="s">
        <v>382</v>
      </c>
      <c r="B349" s="1">
        <v>46113</v>
      </c>
      <c r="C349" t="s">
        <v>32</v>
      </c>
      <c r="D349" t="s">
        <v>14</v>
      </c>
      <c r="E349" t="s">
        <v>15</v>
      </c>
      <c r="F349" t="s">
        <v>26</v>
      </c>
      <c r="G349">
        <v>1</v>
      </c>
      <c r="H349" t="s">
        <v>27</v>
      </c>
      <c r="I349">
        <v>1900</v>
      </c>
      <c r="J349">
        <v>0</v>
      </c>
      <c r="K349">
        <v>1900</v>
      </c>
      <c r="L349" s="2">
        <v>46113</v>
      </c>
    </row>
    <row r="350" spans="1:12" x14ac:dyDescent="0.25">
      <c r="A350" t="s">
        <v>383</v>
      </c>
      <c r="B350" s="1">
        <v>46113</v>
      </c>
      <c r="C350" t="s">
        <v>46</v>
      </c>
      <c r="D350" t="s">
        <v>29</v>
      </c>
      <c r="E350" t="s">
        <v>15</v>
      </c>
      <c r="F350" t="s">
        <v>16</v>
      </c>
      <c r="G350">
        <v>1</v>
      </c>
      <c r="H350" t="s">
        <v>27</v>
      </c>
      <c r="I350">
        <v>850</v>
      </c>
      <c r="J350">
        <v>0</v>
      </c>
      <c r="K350">
        <v>850</v>
      </c>
      <c r="L350" s="2">
        <v>46113</v>
      </c>
    </row>
    <row r="351" spans="1:12" x14ac:dyDescent="0.25">
      <c r="A351" t="s">
        <v>384</v>
      </c>
      <c r="B351" s="1">
        <v>46114</v>
      </c>
      <c r="C351" t="s">
        <v>32</v>
      </c>
      <c r="D351" t="s">
        <v>14</v>
      </c>
      <c r="E351" t="s">
        <v>21</v>
      </c>
      <c r="F351" t="s">
        <v>33</v>
      </c>
      <c r="G351">
        <v>3</v>
      </c>
      <c r="H351" t="s">
        <v>27</v>
      </c>
      <c r="I351">
        <v>1900</v>
      </c>
      <c r="J351">
        <v>0.1</v>
      </c>
      <c r="K351">
        <v>5130</v>
      </c>
      <c r="L351" s="2">
        <v>46113</v>
      </c>
    </row>
    <row r="352" spans="1:12" x14ac:dyDescent="0.25">
      <c r="A352" t="s">
        <v>385</v>
      </c>
      <c r="B352" s="1">
        <v>46114</v>
      </c>
      <c r="C352" t="s">
        <v>42</v>
      </c>
      <c r="D352" t="s">
        <v>29</v>
      </c>
      <c r="E352" t="s">
        <v>21</v>
      </c>
      <c r="F352" t="s">
        <v>16</v>
      </c>
      <c r="G352">
        <v>2</v>
      </c>
      <c r="H352" t="s">
        <v>17</v>
      </c>
      <c r="I352">
        <v>14500</v>
      </c>
      <c r="J352">
        <v>0.1</v>
      </c>
      <c r="K352">
        <v>26100</v>
      </c>
      <c r="L352" s="2">
        <v>46113</v>
      </c>
    </row>
    <row r="353" spans="1:12" x14ac:dyDescent="0.25">
      <c r="A353" t="s">
        <v>386</v>
      </c>
      <c r="B353" s="1">
        <v>46117</v>
      </c>
      <c r="C353" t="s">
        <v>46</v>
      </c>
      <c r="D353" t="s">
        <v>47</v>
      </c>
      <c r="E353" t="s">
        <v>21</v>
      </c>
      <c r="F353" t="s">
        <v>43</v>
      </c>
      <c r="G353">
        <v>6</v>
      </c>
      <c r="H353" t="s">
        <v>27</v>
      </c>
      <c r="I353">
        <v>850</v>
      </c>
      <c r="J353">
        <v>0</v>
      </c>
      <c r="K353">
        <v>5100</v>
      </c>
      <c r="L353" s="2">
        <v>46113</v>
      </c>
    </row>
    <row r="354" spans="1:12" x14ac:dyDescent="0.25">
      <c r="A354" t="s">
        <v>387</v>
      </c>
      <c r="B354" s="1">
        <v>46118</v>
      </c>
      <c r="C354" t="s">
        <v>46</v>
      </c>
      <c r="D354" t="s">
        <v>47</v>
      </c>
      <c r="E354" t="s">
        <v>15</v>
      </c>
      <c r="F354" t="s">
        <v>30</v>
      </c>
      <c r="G354">
        <v>2</v>
      </c>
      <c r="H354" t="s">
        <v>27</v>
      </c>
      <c r="I354">
        <v>850</v>
      </c>
      <c r="J354">
        <v>0</v>
      </c>
      <c r="K354">
        <v>1700</v>
      </c>
      <c r="L354" s="2">
        <v>46113</v>
      </c>
    </row>
    <row r="355" spans="1:12" x14ac:dyDescent="0.25">
      <c r="A355" t="s">
        <v>388</v>
      </c>
      <c r="B355" s="1">
        <v>46118</v>
      </c>
      <c r="C355" t="s">
        <v>19</v>
      </c>
      <c r="D355" t="s">
        <v>29</v>
      </c>
      <c r="E355" t="s">
        <v>15</v>
      </c>
      <c r="F355" t="s">
        <v>30</v>
      </c>
      <c r="G355">
        <v>4</v>
      </c>
      <c r="H355" t="s">
        <v>23</v>
      </c>
      <c r="I355">
        <v>12500</v>
      </c>
      <c r="J355">
        <v>0</v>
      </c>
      <c r="K355">
        <v>50000</v>
      </c>
      <c r="L355" s="2">
        <v>46113</v>
      </c>
    </row>
    <row r="356" spans="1:12" x14ac:dyDescent="0.25">
      <c r="A356" t="s">
        <v>389</v>
      </c>
      <c r="B356" s="1">
        <v>46118</v>
      </c>
      <c r="C356" t="s">
        <v>19</v>
      </c>
      <c r="D356" t="s">
        <v>29</v>
      </c>
      <c r="E356" t="s">
        <v>15</v>
      </c>
      <c r="F356" t="s">
        <v>22</v>
      </c>
      <c r="G356">
        <v>1</v>
      </c>
      <c r="H356" t="s">
        <v>23</v>
      </c>
      <c r="I356">
        <v>12500</v>
      </c>
      <c r="J356">
        <v>0</v>
      </c>
      <c r="K356">
        <v>12500</v>
      </c>
      <c r="L356" s="2">
        <v>46113</v>
      </c>
    </row>
    <row r="357" spans="1:12" x14ac:dyDescent="0.25">
      <c r="A357" t="s">
        <v>390</v>
      </c>
      <c r="B357" s="1">
        <v>46120</v>
      </c>
      <c r="C357" t="s">
        <v>19</v>
      </c>
      <c r="D357" t="s">
        <v>29</v>
      </c>
      <c r="E357" t="s">
        <v>15</v>
      </c>
      <c r="F357" t="s">
        <v>33</v>
      </c>
      <c r="G357">
        <v>6</v>
      </c>
      <c r="H357" t="s">
        <v>23</v>
      </c>
      <c r="I357">
        <v>12500</v>
      </c>
      <c r="J357">
        <v>0</v>
      </c>
      <c r="K357">
        <v>75000</v>
      </c>
      <c r="L357" s="2">
        <v>46113</v>
      </c>
    </row>
    <row r="358" spans="1:12" x14ac:dyDescent="0.25">
      <c r="A358" t="s">
        <v>391</v>
      </c>
      <c r="B358" s="1">
        <v>46124</v>
      </c>
      <c r="C358" t="s">
        <v>25</v>
      </c>
      <c r="D358" t="s">
        <v>14</v>
      </c>
      <c r="E358" t="s">
        <v>15</v>
      </c>
      <c r="F358" t="s">
        <v>26</v>
      </c>
      <c r="G358">
        <v>6</v>
      </c>
      <c r="H358" t="s">
        <v>27</v>
      </c>
      <c r="I358">
        <v>2800</v>
      </c>
      <c r="J358">
        <v>0.1</v>
      </c>
      <c r="K358">
        <v>15120</v>
      </c>
      <c r="L358" s="2">
        <v>46113</v>
      </c>
    </row>
    <row r="359" spans="1:12" x14ac:dyDescent="0.25">
      <c r="A359" t="s">
        <v>392</v>
      </c>
      <c r="B359" s="1">
        <v>46125</v>
      </c>
      <c r="C359" t="s">
        <v>25</v>
      </c>
      <c r="D359" t="s">
        <v>14</v>
      </c>
      <c r="E359" t="s">
        <v>15</v>
      </c>
      <c r="F359" t="s">
        <v>22</v>
      </c>
      <c r="G359">
        <v>3</v>
      </c>
      <c r="H359" t="s">
        <v>27</v>
      </c>
      <c r="I359">
        <v>2800</v>
      </c>
      <c r="J359">
        <v>0.05</v>
      </c>
      <c r="K359">
        <v>7980</v>
      </c>
      <c r="L359" s="2">
        <v>46113</v>
      </c>
    </row>
    <row r="360" spans="1:12" x14ac:dyDescent="0.25">
      <c r="A360" t="s">
        <v>393</v>
      </c>
      <c r="B360" s="1">
        <v>46126</v>
      </c>
      <c r="C360" t="s">
        <v>32</v>
      </c>
      <c r="D360" t="s">
        <v>47</v>
      </c>
      <c r="E360" t="s">
        <v>15</v>
      </c>
      <c r="F360" t="s">
        <v>33</v>
      </c>
      <c r="G360">
        <v>6</v>
      </c>
      <c r="H360" t="s">
        <v>27</v>
      </c>
      <c r="I360">
        <v>1900</v>
      </c>
      <c r="J360">
        <v>0</v>
      </c>
      <c r="K360">
        <v>11400</v>
      </c>
      <c r="L360" s="2">
        <v>46113</v>
      </c>
    </row>
    <row r="361" spans="1:12" x14ac:dyDescent="0.25">
      <c r="A361" t="s">
        <v>394</v>
      </c>
      <c r="B361" s="1">
        <v>46126</v>
      </c>
      <c r="C361" t="s">
        <v>32</v>
      </c>
      <c r="D361" t="s">
        <v>29</v>
      </c>
      <c r="E361" t="s">
        <v>15</v>
      </c>
      <c r="F361" t="s">
        <v>26</v>
      </c>
      <c r="G361">
        <v>1</v>
      </c>
      <c r="H361" t="s">
        <v>27</v>
      </c>
      <c r="I361">
        <v>1900</v>
      </c>
      <c r="J361">
        <v>0.1</v>
      </c>
      <c r="K361">
        <v>1710</v>
      </c>
      <c r="L361" s="2">
        <v>46113</v>
      </c>
    </row>
    <row r="362" spans="1:12" x14ac:dyDescent="0.25">
      <c r="A362" t="s">
        <v>395</v>
      </c>
      <c r="B362" s="1">
        <v>46127</v>
      </c>
      <c r="C362" t="s">
        <v>46</v>
      </c>
      <c r="D362" t="s">
        <v>47</v>
      </c>
      <c r="E362" t="s">
        <v>15</v>
      </c>
      <c r="F362" t="s">
        <v>22</v>
      </c>
      <c r="G362">
        <v>3</v>
      </c>
      <c r="H362" t="s">
        <v>27</v>
      </c>
      <c r="I362">
        <v>850</v>
      </c>
      <c r="J362">
        <v>0.05</v>
      </c>
      <c r="K362">
        <v>2422.5</v>
      </c>
      <c r="L362" s="2">
        <v>46113</v>
      </c>
    </row>
    <row r="363" spans="1:12" x14ac:dyDescent="0.25">
      <c r="A363" t="s">
        <v>396</v>
      </c>
      <c r="B363" s="1">
        <v>46132</v>
      </c>
      <c r="C363" t="s">
        <v>36</v>
      </c>
      <c r="D363" t="s">
        <v>47</v>
      </c>
      <c r="E363" t="s">
        <v>21</v>
      </c>
      <c r="F363" t="s">
        <v>33</v>
      </c>
      <c r="G363">
        <v>6</v>
      </c>
      <c r="H363" t="s">
        <v>23</v>
      </c>
      <c r="I363">
        <v>9200</v>
      </c>
      <c r="J363">
        <v>0.05</v>
      </c>
      <c r="K363">
        <v>52440</v>
      </c>
      <c r="L363" s="2">
        <v>46113</v>
      </c>
    </row>
    <row r="364" spans="1:12" x14ac:dyDescent="0.25">
      <c r="A364" t="s">
        <v>397</v>
      </c>
      <c r="B364" s="1">
        <v>46133</v>
      </c>
      <c r="C364" t="s">
        <v>38</v>
      </c>
      <c r="D364" t="s">
        <v>47</v>
      </c>
      <c r="E364" t="s">
        <v>15</v>
      </c>
      <c r="F364" t="s">
        <v>16</v>
      </c>
      <c r="G364">
        <v>6</v>
      </c>
      <c r="H364" t="s">
        <v>17</v>
      </c>
      <c r="I364">
        <v>58000</v>
      </c>
      <c r="J364">
        <v>0.05</v>
      </c>
      <c r="K364">
        <v>330600</v>
      </c>
      <c r="L364" s="2">
        <v>46113</v>
      </c>
    </row>
    <row r="365" spans="1:12" x14ac:dyDescent="0.25">
      <c r="A365" t="s">
        <v>398</v>
      </c>
      <c r="B365" s="1">
        <v>46134</v>
      </c>
      <c r="C365" t="s">
        <v>46</v>
      </c>
      <c r="D365" t="s">
        <v>14</v>
      </c>
      <c r="E365" t="s">
        <v>21</v>
      </c>
      <c r="F365" t="s">
        <v>26</v>
      </c>
      <c r="G365">
        <v>4</v>
      </c>
      <c r="H365" t="s">
        <v>27</v>
      </c>
      <c r="I365">
        <v>850</v>
      </c>
      <c r="J365">
        <v>0.1</v>
      </c>
      <c r="K365">
        <v>3060</v>
      </c>
      <c r="L365" s="2">
        <v>46113</v>
      </c>
    </row>
    <row r="366" spans="1:12" x14ac:dyDescent="0.25">
      <c r="A366" t="s">
        <v>399</v>
      </c>
      <c r="B366" s="1">
        <v>46134</v>
      </c>
      <c r="C366" t="s">
        <v>25</v>
      </c>
      <c r="D366" t="s">
        <v>47</v>
      </c>
      <c r="E366" t="s">
        <v>15</v>
      </c>
      <c r="F366" t="s">
        <v>33</v>
      </c>
      <c r="G366">
        <v>6</v>
      </c>
      <c r="H366" t="s">
        <v>27</v>
      </c>
      <c r="I366">
        <v>2800</v>
      </c>
      <c r="J366">
        <v>0.15</v>
      </c>
      <c r="K366">
        <v>14280</v>
      </c>
      <c r="L366" s="2">
        <v>46113</v>
      </c>
    </row>
    <row r="367" spans="1:12" x14ac:dyDescent="0.25">
      <c r="A367" t="s">
        <v>400</v>
      </c>
      <c r="B367" s="1">
        <v>46135</v>
      </c>
      <c r="C367" t="s">
        <v>42</v>
      </c>
      <c r="D367" t="s">
        <v>14</v>
      </c>
      <c r="E367" t="s">
        <v>15</v>
      </c>
      <c r="F367" t="s">
        <v>26</v>
      </c>
      <c r="G367">
        <v>4</v>
      </c>
      <c r="H367" t="s">
        <v>17</v>
      </c>
      <c r="I367">
        <v>14500</v>
      </c>
      <c r="J367">
        <v>0</v>
      </c>
      <c r="K367">
        <v>58000</v>
      </c>
      <c r="L367" s="2">
        <v>46113</v>
      </c>
    </row>
    <row r="368" spans="1:12" x14ac:dyDescent="0.25">
      <c r="A368" t="s">
        <v>401</v>
      </c>
      <c r="B368" s="1">
        <v>46136</v>
      </c>
      <c r="C368" t="s">
        <v>13</v>
      </c>
      <c r="D368" t="s">
        <v>47</v>
      </c>
      <c r="E368" t="s">
        <v>15</v>
      </c>
      <c r="F368" t="s">
        <v>43</v>
      </c>
      <c r="G368">
        <v>5</v>
      </c>
      <c r="H368" t="s">
        <v>17</v>
      </c>
      <c r="I368">
        <v>26000</v>
      </c>
      <c r="J368">
        <v>0.15</v>
      </c>
      <c r="K368">
        <v>110500</v>
      </c>
      <c r="L368" s="2">
        <v>46113</v>
      </c>
    </row>
    <row r="369" spans="1:12" x14ac:dyDescent="0.25">
      <c r="A369" t="s">
        <v>402</v>
      </c>
      <c r="B369" s="1">
        <v>46138</v>
      </c>
      <c r="C369" t="s">
        <v>46</v>
      </c>
      <c r="D369" t="s">
        <v>20</v>
      </c>
      <c r="E369" t="s">
        <v>15</v>
      </c>
      <c r="F369" t="s">
        <v>33</v>
      </c>
      <c r="G369">
        <v>6</v>
      </c>
      <c r="H369" t="s">
        <v>27</v>
      </c>
      <c r="I369">
        <v>850</v>
      </c>
      <c r="J369">
        <v>0.1</v>
      </c>
      <c r="K369">
        <v>4590</v>
      </c>
      <c r="L369" s="2">
        <v>46113</v>
      </c>
    </row>
    <row r="370" spans="1:12" x14ac:dyDescent="0.25">
      <c r="A370" t="s">
        <v>403</v>
      </c>
      <c r="B370" s="1">
        <v>46140</v>
      </c>
      <c r="C370" t="s">
        <v>19</v>
      </c>
      <c r="D370" t="s">
        <v>14</v>
      </c>
      <c r="E370" t="s">
        <v>21</v>
      </c>
      <c r="F370" t="s">
        <v>26</v>
      </c>
      <c r="G370">
        <v>1</v>
      </c>
      <c r="H370" t="s">
        <v>23</v>
      </c>
      <c r="I370">
        <v>12500</v>
      </c>
      <c r="J370">
        <v>0</v>
      </c>
      <c r="K370">
        <v>12500</v>
      </c>
      <c r="L370" s="2">
        <v>46113</v>
      </c>
    </row>
    <row r="371" spans="1:12" x14ac:dyDescent="0.25">
      <c r="A371" t="s">
        <v>404</v>
      </c>
      <c r="B371" s="1">
        <v>46142</v>
      </c>
      <c r="C371" t="s">
        <v>38</v>
      </c>
      <c r="D371" t="s">
        <v>20</v>
      </c>
      <c r="E371" t="s">
        <v>21</v>
      </c>
      <c r="F371" t="s">
        <v>33</v>
      </c>
      <c r="G371">
        <v>5</v>
      </c>
      <c r="H371" t="s">
        <v>17</v>
      </c>
      <c r="I371">
        <v>58000</v>
      </c>
      <c r="J371">
        <v>0.05</v>
      </c>
      <c r="K371">
        <v>275500</v>
      </c>
      <c r="L371" s="2">
        <v>46113</v>
      </c>
    </row>
    <row r="372" spans="1:12" x14ac:dyDescent="0.25">
      <c r="A372" t="s">
        <v>405</v>
      </c>
      <c r="B372" s="1">
        <v>46143</v>
      </c>
      <c r="C372" t="s">
        <v>25</v>
      </c>
      <c r="D372" t="s">
        <v>47</v>
      </c>
      <c r="E372" t="s">
        <v>15</v>
      </c>
      <c r="F372" t="s">
        <v>26</v>
      </c>
      <c r="G372">
        <v>4</v>
      </c>
      <c r="H372" t="s">
        <v>27</v>
      </c>
      <c r="I372">
        <v>2800</v>
      </c>
      <c r="J372">
        <v>0.1</v>
      </c>
      <c r="K372">
        <v>10080</v>
      </c>
      <c r="L372" s="2">
        <v>46143</v>
      </c>
    </row>
    <row r="373" spans="1:12" x14ac:dyDescent="0.25">
      <c r="A373" t="s">
        <v>406</v>
      </c>
      <c r="B373" s="1">
        <v>46143</v>
      </c>
      <c r="C373" t="s">
        <v>36</v>
      </c>
      <c r="D373" t="s">
        <v>29</v>
      </c>
      <c r="E373" t="s">
        <v>15</v>
      </c>
      <c r="F373" t="s">
        <v>43</v>
      </c>
      <c r="G373">
        <v>6</v>
      </c>
      <c r="H373" t="s">
        <v>23</v>
      </c>
      <c r="I373">
        <v>9200</v>
      </c>
      <c r="J373">
        <v>0.15</v>
      </c>
      <c r="K373">
        <v>46920</v>
      </c>
      <c r="L373" s="2">
        <v>46143</v>
      </c>
    </row>
    <row r="374" spans="1:12" x14ac:dyDescent="0.25">
      <c r="A374" t="s">
        <v>407</v>
      </c>
      <c r="B374" s="1">
        <v>46144</v>
      </c>
      <c r="C374" t="s">
        <v>19</v>
      </c>
      <c r="D374" t="s">
        <v>29</v>
      </c>
      <c r="E374" t="s">
        <v>15</v>
      </c>
      <c r="F374" t="s">
        <v>26</v>
      </c>
      <c r="G374">
        <v>4</v>
      </c>
      <c r="H374" t="s">
        <v>23</v>
      </c>
      <c r="I374">
        <v>12500</v>
      </c>
      <c r="J374">
        <v>0.1</v>
      </c>
      <c r="K374">
        <v>45000</v>
      </c>
      <c r="L374" s="2">
        <v>46143</v>
      </c>
    </row>
    <row r="375" spans="1:12" x14ac:dyDescent="0.25">
      <c r="A375" t="s">
        <v>408</v>
      </c>
      <c r="B375" s="1">
        <v>46145</v>
      </c>
      <c r="C375" t="s">
        <v>38</v>
      </c>
      <c r="D375" t="s">
        <v>14</v>
      </c>
      <c r="E375" t="s">
        <v>21</v>
      </c>
      <c r="F375" t="s">
        <v>30</v>
      </c>
      <c r="G375">
        <v>3</v>
      </c>
      <c r="H375" t="s">
        <v>17</v>
      </c>
      <c r="I375">
        <v>58000</v>
      </c>
      <c r="J375">
        <v>0.15</v>
      </c>
      <c r="K375">
        <v>147900</v>
      </c>
      <c r="L375" s="2">
        <v>46143</v>
      </c>
    </row>
    <row r="376" spans="1:12" x14ac:dyDescent="0.25">
      <c r="A376" t="s">
        <v>409</v>
      </c>
      <c r="B376" s="1">
        <v>46145</v>
      </c>
      <c r="C376" t="s">
        <v>46</v>
      </c>
      <c r="D376" t="s">
        <v>20</v>
      </c>
      <c r="E376" t="s">
        <v>15</v>
      </c>
      <c r="F376" t="s">
        <v>16</v>
      </c>
      <c r="G376">
        <v>6</v>
      </c>
      <c r="H376" t="s">
        <v>27</v>
      </c>
      <c r="I376">
        <v>850</v>
      </c>
      <c r="J376">
        <v>0.15</v>
      </c>
      <c r="K376">
        <v>4335</v>
      </c>
      <c r="L376" s="2">
        <v>46143</v>
      </c>
    </row>
    <row r="377" spans="1:12" x14ac:dyDescent="0.25">
      <c r="A377" t="s">
        <v>410</v>
      </c>
      <c r="B377" s="1">
        <v>46146</v>
      </c>
      <c r="C377" t="s">
        <v>38</v>
      </c>
      <c r="D377" t="s">
        <v>29</v>
      </c>
      <c r="E377" t="s">
        <v>15</v>
      </c>
      <c r="F377" t="s">
        <v>26</v>
      </c>
      <c r="G377">
        <v>5</v>
      </c>
      <c r="H377" t="s">
        <v>17</v>
      </c>
      <c r="I377">
        <v>58000</v>
      </c>
      <c r="J377">
        <v>0.1</v>
      </c>
      <c r="K377">
        <v>261000</v>
      </c>
      <c r="L377" s="2">
        <v>46143</v>
      </c>
    </row>
    <row r="378" spans="1:12" x14ac:dyDescent="0.25">
      <c r="A378" t="s">
        <v>411</v>
      </c>
      <c r="B378" s="1">
        <v>46147</v>
      </c>
      <c r="C378" t="s">
        <v>42</v>
      </c>
      <c r="D378" t="s">
        <v>29</v>
      </c>
      <c r="E378" t="s">
        <v>15</v>
      </c>
      <c r="F378" t="s">
        <v>43</v>
      </c>
      <c r="G378">
        <v>3</v>
      </c>
      <c r="H378" t="s">
        <v>17</v>
      </c>
      <c r="I378">
        <v>14500</v>
      </c>
      <c r="J378">
        <v>0.05</v>
      </c>
      <c r="K378">
        <v>41325</v>
      </c>
      <c r="L378" s="2">
        <v>46143</v>
      </c>
    </row>
    <row r="379" spans="1:12" x14ac:dyDescent="0.25">
      <c r="A379" t="s">
        <v>412</v>
      </c>
      <c r="B379" s="1">
        <v>46147</v>
      </c>
      <c r="C379" t="s">
        <v>38</v>
      </c>
      <c r="D379" t="s">
        <v>47</v>
      </c>
      <c r="E379" t="s">
        <v>15</v>
      </c>
      <c r="F379" t="s">
        <v>33</v>
      </c>
      <c r="G379">
        <v>4</v>
      </c>
      <c r="H379" t="s">
        <v>17</v>
      </c>
      <c r="I379">
        <v>58000</v>
      </c>
      <c r="J379">
        <v>0</v>
      </c>
      <c r="K379">
        <v>232000</v>
      </c>
      <c r="L379" s="2">
        <v>46143</v>
      </c>
    </row>
    <row r="380" spans="1:12" x14ac:dyDescent="0.25">
      <c r="A380" t="s">
        <v>413</v>
      </c>
      <c r="B380" s="1">
        <v>46148</v>
      </c>
      <c r="C380" t="s">
        <v>25</v>
      </c>
      <c r="D380" t="s">
        <v>29</v>
      </c>
      <c r="E380" t="s">
        <v>21</v>
      </c>
      <c r="F380" t="s">
        <v>22</v>
      </c>
      <c r="G380">
        <v>4</v>
      </c>
      <c r="H380" t="s">
        <v>27</v>
      </c>
      <c r="I380">
        <v>2800</v>
      </c>
      <c r="J380">
        <v>0.05</v>
      </c>
      <c r="K380">
        <v>10640</v>
      </c>
      <c r="L380" s="2">
        <v>46143</v>
      </c>
    </row>
    <row r="381" spans="1:12" x14ac:dyDescent="0.25">
      <c r="A381" t="s">
        <v>414</v>
      </c>
      <c r="B381" s="1">
        <v>46152</v>
      </c>
      <c r="C381" t="s">
        <v>13</v>
      </c>
      <c r="D381" t="s">
        <v>29</v>
      </c>
      <c r="E381" t="s">
        <v>21</v>
      </c>
      <c r="F381" t="s">
        <v>16</v>
      </c>
      <c r="G381">
        <v>3</v>
      </c>
      <c r="H381" t="s">
        <v>17</v>
      </c>
      <c r="I381">
        <v>26000</v>
      </c>
      <c r="J381">
        <v>0.15</v>
      </c>
      <c r="K381">
        <v>66300</v>
      </c>
      <c r="L381" s="2">
        <v>46143</v>
      </c>
    </row>
    <row r="382" spans="1:12" x14ac:dyDescent="0.25">
      <c r="A382" t="s">
        <v>415</v>
      </c>
      <c r="B382" s="1">
        <v>46154</v>
      </c>
      <c r="C382" t="s">
        <v>36</v>
      </c>
      <c r="D382" t="s">
        <v>47</v>
      </c>
      <c r="E382" t="s">
        <v>21</v>
      </c>
      <c r="F382" t="s">
        <v>22</v>
      </c>
      <c r="G382">
        <v>5</v>
      </c>
      <c r="H382" t="s">
        <v>23</v>
      </c>
      <c r="I382">
        <v>9200</v>
      </c>
      <c r="J382">
        <v>0.1</v>
      </c>
      <c r="K382">
        <v>41400</v>
      </c>
      <c r="L382" s="2">
        <v>46143</v>
      </c>
    </row>
    <row r="383" spans="1:12" x14ac:dyDescent="0.25">
      <c r="A383" t="s">
        <v>416</v>
      </c>
      <c r="B383" s="1">
        <v>46155</v>
      </c>
      <c r="C383" t="s">
        <v>38</v>
      </c>
      <c r="D383" t="s">
        <v>29</v>
      </c>
      <c r="E383" t="s">
        <v>21</v>
      </c>
      <c r="F383" t="s">
        <v>43</v>
      </c>
      <c r="G383">
        <v>3</v>
      </c>
      <c r="H383" t="s">
        <v>17</v>
      </c>
      <c r="I383">
        <v>58000</v>
      </c>
      <c r="J383">
        <v>0</v>
      </c>
      <c r="K383">
        <v>174000</v>
      </c>
      <c r="L383" s="2">
        <v>46143</v>
      </c>
    </row>
    <row r="384" spans="1:12" x14ac:dyDescent="0.25">
      <c r="A384" t="s">
        <v>417</v>
      </c>
      <c r="B384" s="1">
        <v>46155</v>
      </c>
      <c r="C384" t="s">
        <v>19</v>
      </c>
      <c r="D384" t="s">
        <v>14</v>
      </c>
      <c r="E384" t="s">
        <v>21</v>
      </c>
      <c r="F384" t="s">
        <v>43</v>
      </c>
      <c r="G384">
        <v>4</v>
      </c>
      <c r="H384" t="s">
        <v>23</v>
      </c>
      <c r="I384">
        <v>12500</v>
      </c>
      <c r="J384">
        <v>0.1</v>
      </c>
      <c r="K384">
        <v>45000</v>
      </c>
      <c r="L384" s="2">
        <v>46143</v>
      </c>
    </row>
    <row r="385" spans="1:12" x14ac:dyDescent="0.25">
      <c r="A385" t="s">
        <v>418</v>
      </c>
      <c r="B385" s="1">
        <v>46155</v>
      </c>
      <c r="C385" t="s">
        <v>42</v>
      </c>
      <c r="D385" t="s">
        <v>14</v>
      </c>
      <c r="E385" t="s">
        <v>21</v>
      </c>
      <c r="F385" t="s">
        <v>43</v>
      </c>
      <c r="G385">
        <v>2</v>
      </c>
      <c r="H385" t="s">
        <v>17</v>
      </c>
      <c r="I385">
        <v>14500</v>
      </c>
      <c r="J385">
        <v>0.1</v>
      </c>
      <c r="K385">
        <v>26100</v>
      </c>
      <c r="L385" s="2">
        <v>46143</v>
      </c>
    </row>
    <row r="386" spans="1:12" x14ac:dyDescent="0.25">
      <c r="A386" t="s">
        <v>419</v>
      </c>
      <c r="B386" s="1">
        <v>46158</v>
      </c>
      <c r="C386" t="s">
        <v>32</v>
      </c>
      <c r="D386" t="s">
        <v>29</v>
      </c>
      <c r="E386" t="s">
        <v>15</v>
      </c>
      <c r="F386" t="s">
        <v>30</v>
      </c>
      <c r="G386">
        <v>2</v>
      </c>
      <c r="H386" t="s">
        <v>27</v>
      </c>
      <c r="I386">
        <v>1900</v>
      </c>
      <c r="J386">
        <v>0.05</v>
      </c>
      <c r="K386">
        <v>3610</v>
      </c>
      <c r="L386" s="2">
        <v>46143</v>
      </c>
    </row>
    <row r="387" spans="1:12" x14ac:dyDescent="0.25">
      <c r="A387" t="s">
        <v>420</v>
      </c>
      <c r="B387" s="1">
        <v>46159</v>
      </c>
      <c r="C387" t="s">
        <v>32</v>
      </c>
      <c r="D387" t="s">
        <v>29</v>
      </c>
      <c r="E387" t="s">
        <v>15</v>
      </c>
      <c r="F387" t="s">
        <v>30</v>
      </c>
      <c r="G387">
        <v>1</v>
      </c>
      <c r="H387" t="s">
        <v>27</v>
      </c>
      <c r="I387">
        <v>1900</v>
      </c>
      <c r="J387">
        <v>0</v>
      </c>
      <c r="K387">
        <v>1900</v>
      </c>
      <c r="L387" s="2">
        <v>46143</v>
      </c>
    </row>
    <row r="388" spans="1:12" x14ac:dyDescent="0.25">
      <c r="A388" t="s">
        <v>421</v>
      </c>
      <c r="B388" s="1">
        <v>46162</v>
      </c>
      <c r="C388" t="s">
        <v>46</v>
      </c>
      <c r="D388" t="s">
        <v>47</v>
      </c>
      <c r="E388" t="s">
        <v>15</v>
      </c>
      <c r="F388" t="s">
        <v>22</v>
      </c>
      <c r="G388">
        <v>2</v>
      </c>
      <c r="H388" t="s">
        <v>27</v>
      </c>
      <c r="I388">
        <v>850</v>
      </c>
      <c r="J388">
        <v>0.1</v>
      </c>
      <c r="K388">
        <v>1530</v>
      </c>
      <c r="L388" s="2">
        <v>46143</v>
      </c>
    </row>
    <row r="389" spans="1:12" x14ac:dyDescent="0.25">
      <c r="A389" t="s">
        <v>422</v>
      </c>
      <c r="B389" s="1">
        <v>46165</v>
      </c>
      <c r="C389" t="s">
        <v>13</v>
      </c>
      <c r="D389" t="s">
        <v>47</v>
      </c>
      <c r="E389" t="s">
        <v>15</v>
      </c>
      <c r="F389" t="s">
        <v>26</v>
      </c>
      <c r="G389">
        <v>1</v>
      </c>
      <c r="H389" t="s">
        <v>17</v>
      </c>
      <c r="I389">
        <v>26000</v>
      </c>
      <c r="J389">
        <v>0.05</v>
      </c>
      <c r="K389">
        <v>24700</v>
      </c>
      <c r="L389" s="2">
        <v>46143</v>
      </c>
    </row>
    <row r="390" spans="1:12" x14ac:dyDescent="0.25">
      <c r="A390" t="s">
        <v>423</v>
      </c>
      <c r="B390" s="1">
        <v>46166</v>
      </c>
      <c r="C390" t="s">
        <v>46</v>
      </c>
      <c r="D390" t="s">
        <v>47</v>
      </c>
      <c r="E390" t="s">
        <v>15</v>
      </c>
      <c r="F390" t="s">
        <v>30</v>
      </c>
      <c r="G390">
        <v>5</v>
      </c>
      <c r="H390" t="s">
        <v>27</v>
      </c>
      <c r="I390">
        <v>850</v>
      </c>
      <c r="J390">
        <v>0.05</v>
      </c>
      <c r="K390">
        <v>4037.5</v>
      </c>
      <c r="L390" s="2">
        <v>46143</v>
      </c>
    </row>
    <row r="391" spans="1:12" x14ac:dyDescent="0.25">
      <c r="A391" t="s">
        <v>424</v>
      </c>
      <c r="B391" s="1">
        <v>46168</v>
      </c>
      <c r="C391" t="s">
        <v>38</v>
      </c>
      <c r="D391" t="s">
        <v>29</v>
      </c>
      <c r="E391" t="s">
        <v>21</v>
      </c>
      <c r="F391" t="s">
        <v>26</v>
      </c>
      <c r="G391">
        <v>1</v>
      </c>
      <c r="H391" t="s">
        <v>17</v>
      </c>
      <c r="I391">
        <v>58000</v>
      </c>
      <c r="J391">
        <v>0.1</v>
      </c>
      <c r="K391">
        <v>52200</v>
      </c>
      <c r="L391" s="2">
        <v>46143</v>
      </c>
    </row>
    <row r="392" spans="1:12" x14ac:dyDescent="0.25">
      <c r="A392" t="s">
        <v>425</v>
      </c>
      <c r="B392" s="1">
        <v>46172</v>
      </c>
      <c r="C392" t="s">
        <v>46</v>
      </c>
      <c r="D392" t="s">
        <v>47</v>
      </c>
      <c r="E392" t="s">
        <v>21</v>
      </c>
      <c r="F392" t="s">
        <v>16</v>
      </c>
      <c r="G392">
        <v>6</v>
      </c>
      <c r="H392" t="s">
        <v>27</v>
      </c>
      <c r="I392">
        <v>850</v>
      </c>
      <c r="J392">
        <v>0.1</v>
      </c>
      <c r="K392">
        <v>4590</v>
      </c>
      <c r="L392" s="2">
        <v>46143</v>
      </c>
    </row>
    <row r="393" spans="1:12" x14ac:dyDescent="0.25">
      <c r="A393" t="s">
        <v>426</v>
      </c>
      <c r="B393" s="1">
        <v>46172</v>
      </c>
      <c r="C393" t="s">
        <v>13</v>
      </c>
      <c r="D393" t="s">
        <v>14</v>
      </c>
      <c r="E393" t="s">
        <v>15</v>
      </c>
      <c r="F393" t="s">
        <v>22</v>
      </c>
      <c r="G393">
        <v>6</v>
      </c>
      <c r="H393" t="s">
        <v>17</v>
      </c>
      <c r="I393">
        <v>26000</v>
      </c>
      <c r="J393">
        <v>0.05</v>
      </c>
      <c r="K393">
        <v>148200</v>
      </c>
      <c r="L393" s="2">
        <v>46143</v>
      </c>
    </row>
    <row r="394" spans="1:12" x14ac:dyDescent="0.25">
      <c r="A394" t="s">
        <v>427</v>
      </c>
      <c r="B394" s="1">
        <v>46173</v>
      </c>
      <c r="C394" t="s">
        <v>46</v>
      </c>
      <c r="D394" t="s">
        <v>47</v>
      </c>
      <c r="E394" t="s">
        <v>15</v>
      </c>
      <c r="F394" t="s">
        <v>43</v>
      </c>
      <c r="G394">
        <v>3</v>
      </c>
      <c r="H394" t="s">
        <v>27</v>
      </c>
      <c r="I394">
        <v>850</v>
      </c>
      <c r="J394">
        <v>0.15</v>
      </c>
      <c r="K394">
        <v>2167.5</v>
      </c>
      <c r="L394" s="2">
        <v>46143</v>
      </c>
    </row>
    <row r="395" spans="1:12" x14ac:dyDescent="0.25">
      <c r="A395" t="s">
        <v>428</v>
      </c>
      <c r="B395" s="1">
        <v>46173</v>
      </c>
      <c r="C395" t="s">
        <v>32</v>
      </c>
      <c r="D395" t="s">
        <v>47</v>
      </c>
      <c r="E395" t="s">
        <v>15</v>
      </c>
      <c r="F395" t="s">
        <v>43</v>
      </c>
      <c r="G395">
        <v>1</v>
      </c>
      <c r="H395" t="s">
        <v>27</v>
      </c>
      <c r="I395">
        <v>1900</v>
      </c>
      <c r="J395">
        <v>0.1</v>
      </c>
      <c r="K395">
        <v>1710</v>
      </c>
      <c r="L395" s="2">
        <v>46143</v>
      </c>
    </row>
    <row r="396" spans="1:12" x14ac:dyDescent="0.25">
      <c r="A396" t="s">
        <v>429</v>
      </c>
      <c r="B396" s="1">
        <v>46174</v>
      </c>
      <c r="C396" t="s">
        <v>32</v>
      </c>
      <c r="D396" t="s">
        <v>20</v>
      </c>
      <c r="E396" t="s">
        <v>15</v>
      </c>
      <c r="F396" t="s">
        <v>26</v>
      </c>
      <c r="G396">
        <v>3</v>
      </c>
      <c r="H396" t="s">
        <v>27</v>
      </c>
      <c r="I396">
        <v>1900</v>
      </c>
      <c r="J396">
        <v>0.05</v>
      </c>
      <c r="K396">
        <v>5415</v>
      </c>
      <c r="L396" s="2">
        <v>46174</v>
      </c>
    </row>
    <row r="397" spans="1:12" x14ac:dyDescent="0.25">
      <c r="A397" t="s">
        <v>430</v>
      </c>
      <c r="B397" s="1">
        <v>46174</v>
      </c>
      <c r="C397" t="s">
        <v>32</v>
      </c>
      <c r="D397" t="s">
        <v>29</v>
      </c>
      <c r="E397" t="s">
        <v>15</v>
      </c>
      <c r="F397" t="s">
        <v>33</v>
      </c>
      <c r="G397">
        <v>3</v>
      </c>
      <c r="H397" t="s">
        <v>27</v>
      </c>
      <c r="I397">
        <v>1900</v>
      </c>
      <c r="J397">
        <v>0</v>
      </c>
      <c r="K397">
        <v>5700</v>
      </c>
      <c r="L397" s="2">
        <v>46174</v>
      </c>
    </row>
    <row r="398" spans="1:12" x14ac:dyDescent="0.25">
      <c r="A398" t="s">
        <v>431</v>
      </c>
      <c r="B398" s="1">
        <v>46175</v>
      </c>
      <c r="C398" t="s">
        <v>46</v>
      </c>
      <c r="D398" t="s">
        <v>20</v>
      </c>
      <c r="E398" t="s">
        <v>15</v>
      </c>
      <c r="F398" t="s">
        <v>33</v>
      </c>
      <c r="G398">
        <v>6</v>
      </c>
      <c r="H398" t="s">
        <v>27</v>
      </c>
      <c r="I398">
        <v>850</v>
      </c>
      <c r="J398">
        <v>0</v>
      </c>
      <c r="K398">
        <v>5100</v>
      </c>
      <c r="L398" s="2">
        <v>46174</v>
      </c>
    </row>
    <row r="399" spans="1:12" x14ac:dyDescent="0.25">
      <c r="A399" t="s">
        <v>432</v>
      </c>
      <c r="B399" s="1">
        <v>46175</v>
      </c>
      <c r="C399" t="s">
        <v>19</v>
      </c>
      <c r="D399" t="s">
        <v>20</v>
      </c>
      <c r="E399" t="s">
        <v>15</v>
      </c>
      <c r="F399" t="s">
        <v>26</v>
      </c>
      <c r="G399">
        <v>1</v>
      </c>
      <c r="H399" t="s">
        <v>23</v>
      </c>
      <c r="I399">
        <v>12500</v>
      </c>
      <c r="J399">
        <v>0.15</v>
      </c>
      <c r="K399">
        <v>10625</v>
      </c>
      <c r="L399" s="2">
        <v>46174</v>
      </c>
    </row>
    <row r="400" spans="1:12" x14ac:dyDescent="0.25">
      <c r="A400" t="s">
        <v>433</v>
      </c>
      <c r="B400" s="1">
        <v>46177</v>
      </c>
      <c r="C400" t="s">
        <v>32</v>
      </c>
      <c r="D400" t="s">
        <v>14</v>
      </c>
      <c r="E400" t="s">
        <v>21</v>
      </c>
      <c r="F400" t="s">
        <v>43</v>
      </c>
      <c r="G400">
        <v>3</v>
      </c>
      <c r="H400" t="s">
        <v>27</v>
      </c>
      <c r="I400">
        <v>1900</v>
      </c>
      <c r="J400">
        <v>0</v>
      </c>
      <c r="K400">
        <v>5700</v>
      </c>
      <c r="L400" s="2">
        <v>46174</v>
      </c>
    </row>
    <row r="401" spans="1:12" x14ac:dyDescent="0.25">
      <c r="A401" t="s">
        <v>434</v>
      </c>
      <c r="B401" s="1">
        <v>46177</v>
      </c>
      <c r="C401" t="s">
        <v>25</v>
      </c>
      <c r="D401" t="s">
        <v>14</v>
      </c>
      <c r="E401" t="s">
        <v>21</v>
      </c>
      <c r="F401" t="s">
        <v>16</v>
      </c>
      <c r="G401">
        <v>4</v>
      </c>
      <c r="H401" t="s">
        <v>27</v>
      </c>
      <c r="I401">
        <v>2800</v>
      </c>
      <c r="J401">
        <v>0.05</v>
      </c>
      <c r="K401">
        <v>10640</v>
      </c>
      <c r="L401" s="2">
        <v>46174</v>
      </c>
    </row>
    <row r="402" spans="1:12" x14ac:dyDescent="0.25">
      <c r="A402" t="s">
        <v>435</v>
      </c>
      <c r="B402" s="1">
        <v>46178</v>
      </c>
      <c r="C402" t="s">
        <v>36</v>
      </c>
      <c r="D402" t="s">
        <v>47</v>
      </c>
      <c r="E402" t="s">
        <v>21</v>
      </c>
      <c r="F402" t="s">
        <v>43</v>
      </c>
      <c r="G402">
        <v>6</v>
      </c>
      <c r="H402" t="s">
        <v>23</v>
      </c>
      <c r="I402">
        <v>9200</v>
      </c>
      <c r="J402">
        <v>0.05</v>
      </c>
      <c r="K402">
        <v>52440</v>
      </c>
      <c r="L402" s="2">
        <v>46174</v>
      </c>
    </row>
    <row r="403" spans="1:12" x14ac:dyDescent="0.25">
      <c r="A403" t="s">
        <v>436</v>
      </c>
      <c r="B403" s="1">
        <v>46180</v>
      </c>
      <c r="C403" t="s">
        <v>19</v>
      </c>
      <c r="D403" t="s">
        <v>29</v>
      </c>
      <c r="E403" t="s">
        <v>15</v>
      </c>
      <c r="F403" t="s">
        <v>33</v>
      </c>
      <c r="G403">
        <v>2</v>
      </c>
      <c r="H403" t="s">
        <v>23</v>
      </c>
      <c r="I403">
        <v>12500</v>
      </c>
      <c r="J403">
        <v>0.05</v>
      </c>
      <c r="K403">
        <v>23750</v>
      </c>
      <c r="L403" s="2">
        <v>46174</v>
      </c>
    </row>
    <row r="404" spans="1:12" x14ac:dyDescent="0.25">
      <c r="A404" t="s">
        <v>437</v>
      </c>
      <c r="B404" s="1">
        <v>46182</v>
      </c>
      <c r="C404" t="s">
        <v>38</v>
      </c>
      <c r="D404" t="s">
        <v>20</v>
      </c>
      <c r="E404" t="s">
        <v>21</v>
      </c>
      <c r="F404" t="s">
        <v>22</v>
      </c>
      <c r="G404">
        <v>4</v>
      </c>
      <c r="H404" t="s">
        <v>17</v>
      </c>
      <c r="I404">
        <v>58000</v>
      </c>
      <c r="J404">
        <v>0.05</v>
      </c>
      <c r="K404">
        <v>220400</v>
      </c>
      <c r="L404" s="2">
        <v>46174</v>
      </c>
    </row>
    <row r="405" spans="1:12" x14ac:dyDescent="0.25">
      <c r="A405" t="s">
        <v>438</v>
      </c>
      <c r="B405" s="1">
        <v>46183</v>
      </c>
      <c r="C405" t="s">
        <v>19</v>
      </c>
      <c r="D405" t="s">
        <v>20</v>
      </c>
      <c r="E405" t="s">
        <v>21</v>
      </c>
      <c r="F405" t="s">
        <v>26</v>
      </c>
      <c r="G405">
        <v>3</v>
      </c>
      <c r="H405" t="s">
        <v>23</v>
      </c>
      <c r="I405">
        <v>12500</v>
      </c>
      <c r="J405">
        <v>0.1</v>
      </c>
      <c r="K405">
        <v>33750</v>
      </c>
      <c r="L405" s="2">
        <v>46174</v>
      </c>
    </row>
    <row r="406" spans="1:12" x14ac:dyDescent="0.25">
      <c r="A406" t="s">
        <v>439</v>
      </c>
      <c r="B406" s="1">
        <v>46185</v>
      </c>
      <c r="C406" t="s">
        <v>25</v>
      </c>
      <c r="D406" t="s">
        <v>47</v>
      </c>
      <c r="E406" t="s">
        <v>15</v>
      </c>
      <c r="F406" t="s">
        <v>26</v>
      </c>
      <c r="G406">
        <v>6</v>
      </c>
      <c r="H406" t="s">
        <v>27</v>
      </c>
      <c r="I406">
        <v>2800</v>
      </c>
      <c r="J406">
        <v>0.05</v>
      </c>
      <c r="K406">
        <v>15960</v>
      </c>
      <c r="L406" s="2">
        <v>46174</v>
      </c>
    </row>
    <row r="407" spans="1:12" x14ac:dyDescent="0.25">
      <c r="A407" t="s">
        <v>440</v>
      </c>
      <c r="B407" s="1">
        <v>46186</v>
      </c>
      <c r="C407" t="s">
        <v>32</v>
      </c>
      <c r="D407" t="s">
        <v>29</v>
      </c>
      <c r="E407" t="s">
        <v>21</v>
      </c>
      <c r="F407" t="s">
        <v>43</v>
      </c>
      <c r="G407">
        <v>5</v>
      </c>
      <c r="H407" t="s">
        <v>27</v>
      </c>
      <c r="I407">
        <v>1900</v>
      </c>
      <c r="J407">
        <v>0</v>
      </c>
      <c r="K407">
        <v>9500</v>
      </c>
      <c r="L407" s="2">
        <v>46174</v>
      </c>
    </row>
    <row r="408" spans="1:12" x14ac:dyDescent="0.25">
      <c r="A408" t="s">
        <v>441</v>
      </c>
      <c r="B408" s="1">
        <v>46188</v>
      </c>
      <c r="C408" t="s">
        <v>19</v>
      </c>
      <c r="D408" t="s">
        <v>20</v>
      </c>
      <c r="E408" t="s">
        <v>15</v>
      </c>
      <c r="F408" t="s">
        <v>26</v>
      </c>
      <c r="G408">
        <v>2</v>
      </c>
      <c r="H408" t="s">
        <v>23</v>
      </c>
      <c r="I408">
        <v>12500</v>
      </c>
      <c r="J408">
        <v>0</v>
      </c>
      <c r="K408">
        <v>25000</v>
      </c>
      <c r="L408" s="2">
        <v>46174</v>
      </c>
    </row>
    <row r="409" spans="1:12" x14ac:dyDescent="0.25">
      <c r="A409" t="s">
        <v>442</v>
      </c>
      <c r="B409" s="1">
        <v>46188</v>
      </c>
      <c r="C409" t="s">
        <v>36</v>
      </c>
      <c r="D409" t="s">
        <v>20</v>
      </c>
      <c r="E409" t="s">
        <v>15</v>
      </c>
      <c r="F409" t="s">
        <v>26</v>
      </c>
      <c r="G409">
        <v>6</v>
      </c>
      <c r="H409" t="s">
        <v>23</v>
      </c>
      <c r="I409">
        <v>9200</v>
      </c>
      <c r="J409">
        <v>0.1</v>
      </c>
      <c r="K409">
        <v>49680</v>
      </c>
      <c r="L409" s="2">
        <v>46174</v>
      </c>
    </row>
    <row r="410" spans="1:12" x14ac:dyDescent="0.25">
      <c r="A410" t="s">
        <v>443</v>
      </c>
      <c r="B410" s="1">
        <v>46188</v>
      </c>
      <c r="C410" t="s">
        <v>46</v>
      </c>
      <c r="D410" t="s">
        <v>29</v>
      </c>
      <c r="E410" t="s">
        <v>21</v>
      </c>
      <c r="F410" t="s">
        <v>33</v>
      </c>
      <c r="G410">
        <v>4</v>
      </c>
      <c r="H410" t="s">
        <v>27</v>
      </c>
      <c r="I410">
        <v>850</v>
      </c>
      <c r="J410">
        <v>0.05</v>
      </c>
      <c r="K410">
        <v>3230</v>
      </c>
      <c r="L410" s="2">
        <v>46174</v>
      </c>
    </row>
    <row r="411" spans="1:12" x14ac:dyDescent="0.25">
      <c r="A411" t="s">
        <v>444</v>
      </c>
      <c r="B411" s="1">
        <v>46190</v>
      </c>
      <c r="C411" t="s">
        <v>32</v>
      </c>
      <c r="D411" t="s">
        <v>20</v>
      </c>
      <c r="E411" t="s">
        <v>21</v>
      </c>
      <c r="F411" t="s">
        <v>33</v>
      </c>
      <c r="G411">
        <v>5</v>
      </c>
      <c r="H411" t="s">
        <v>27</v>
      </c>
      <c r="I411">
        <v>1900</v>
      </c>
      <c r="J411">
        <v>0</v>
      </c>
      <c r="K411">
        <v>9500</v>
      </c>
      <c r="L411" s="2">
        <v>46174</v>
      </c>
    </row>
    <row r="412" spans="1:12" x14ac:dyDescent="0.25">
      <c r="A412" t="s">
        <v>445</v>
      </c>
      <c r="B412" s="1">
        <v>46192</v>
      </c>
      <c r="C412" t="s">
        <v>42</v>
      </c>
      <c r="D412" t="s">
        <v>47</v>
      </c>
      <c r="E412" t="s">
        <v>15</v>
      </c>
      <c r="F412" t="s">
        <v>22</v>
      </c>
      <c r="G412">
        <v>1</v>
      </c>
      <c r="H412" t="s">
        <v>17</v>
      </c>
      <c r="I412">
        <v>14500</v>
      </c>
      <c r="J412">
        <v>0</v>
      </c>
      <c r="K412">
        <v>14500</v>
      </c>
      <c r="L412" s="2">
        <v>46174</v>
      </c>
    </row>
    <row r="413" spans="1:12" x14ac:dyDescent="0.25">
      <c r="A413" t="s">
        <v>446</v>
      </c>
      <c r="B413" s="1">
        <v>46194</v>
      </c>
      <c r="C413" t="s">
        <v>32</v>
      </c>
      <c r="D413" t="s">
        <v>29</v>
      </c>
      <c r="E413" t="s">
        <v>21</v>
      </c>
      <c r="F413" t="s">
        <v>30</v>
      </c>
      <c r="G413">
        <v>2</v>
      </c>
      <c r="H413" t="s">
        <v>27</v>
      </c>
      <c r="I413">
        <v>1900</v>
      </c>
      <c r="J413">
        <v>0.1</v>
      </c>
      <c r="K413">
        <v>3420</v>
      </c>
      <c r="L413" s="2">
        <v>46174</v>
      </c>
    </row>
    <row r="414" spans="1:12" x14ac:dyDescent="0.25">
      <c r="A414" t="s">
        <v>447</v>
      </c>
      <c r="B414" s="1">
        <v>46194</v>
      </c>
      <c r="C414" t="s">
        <v>32</v>
      </c>
      <c r="D414" t="s">
        <v>14</v>
      </c>
      <c r="E414" t="s">
        <v>21</v>
      </c>
      <c r="F414" t="s">
        <v>22</v>
      </c>
      <c r="G414">
        <v>3</v>
      </c>
      <c r="H414" t="s">
        <v>27</v>
      </c>
      <c r="I414">
        <v>1900</v>
      </c>
      <c r="J414">
        <v>0.05</v>
      </c>
      <c r="K414">
        <v>5415</v>
      </c>
      <c r="L414" s="2">
        <v>46174</v>
      </c>
    </row>
    <row r="415" spans="1:12" x14ac:dyDescent="0.25">
      <c r="A415" t="s">
        <v>448</v>
      </c>
      <c r="B415" s="1">
        <v>46194</v>
      </c>
      <c r="C415" t="s">
        <v>38</v>
      </c>
      <c r="D415" t="s">
        <v>29</v>
      </c>
      <c r="E415" t="s">
        <v>15</v>
      </c>
      <c r="F415" t="s">
        <v>30</v>
      </c>
      <c r="G415">
        <v>1</v>
      </c>
      <c r="H415" t="s">
        <v>17</v>
      </c>
      <c r="I415">
        <v>58000</v>
      </c>
      <c r="J415">
        <v>0.05</v>
      </c>
      <c r="K415">
        <v>55100</v>
      </c>
      <c r="L415" s="2">
        <v>46174</v>
      </c>
    </row>
    <row r="416" spans="1:12" x14ac:dyDescent="0.25">
      <c r="A416" t="s">
        <v>449</v>
      </c>
      <c r="B416" s="1">
        <v>46196</v>
      </c>
      <c r="C416" t="s">
        <v>32</v>
      </c>
      <c r="D416" t="s">
        <v>14</v>
      </c>
      <c r="E416" t="s">
        <v>21</v>
      </c>
      <c r="F416" t="s">
        <v>26</v>
      </c>
      <c r="G416">
        <v>2</v>
      </c>
      <c r="H416" t="s">
        <v>27</v>
      </c>
      <c r="I416">
        <v>1900</v>
      </c>
      <c r="J416">
        <v>0.15</v>
      </c>
      <c r="K416">
        <v>3230</v>
      </c>
      <c r="L416" s="2">
        <v>46174</v>
      </c>
    </row>
    <row r="417" spans="1:12" x14ac:dyDescent="0.25">
      <c r="A417" t="s">
        <v>450</v>
      </c>
      <c r="B417" s="1">
        <v>46197</v>
      </c>
      <c r="C417" t="s">
        <v>38</v>
      </c>
      <c r="D417" t="s">
        <v>20</v>
      </c>
      <c r="E417" t="s">
        <v>15</v>
      </c>
      <c r="F417" t="s">
        <v>43</v>
      </c>
      <c r="G417">
        <v>3</v>
      </c>
      <c r="H417" t="s">
        <v>17</v>
      </c>
      <c r="I417">
        <v>58000</v>
      </c>
      <c r="J417">
        <v>0.1</v>
      </c>
      <c r="K417">
        <v>156600</v>
      </c>
      <c r="L417" s="2">
        <v>46174</v>
      </c>
    </row>
    <row r="418" spans="1:12" x14ac:dyDescent="0.25">
      <c r="A418" t="s">
        <v>451</v>
      </c>
      <c r="B418" s="1">
        <v>46198</v>
      </c>
      <c r="C418" t="s">
        <v>19</v>
      </c>
      <c r="D418" t="s">
        <v>14</v>
      </c>
      <c r="E418" t="s">
        <v>15</v>
      </c>
      <c r="F418" t="s">
        <v>43</v>
      </c>
      <c r="G418">
        <v>5</v>
      </c>
      <c r="H418" t="s">
        <v>23</v>
      </c>
      <c r="I418">
        <v>12500</v>
      </c>
      <c r="J418">
        <v>0.15</v>
      </c>
      <c r="K418">
        <v>53125</v>
      </c>
      <c r="L418" s="2">
        <v>46174</v>
      </c>
    </row>
    <row r="419" spans="1:12" x14ac:dyDescent="0.25">
      <c r="A419" t="s">
        <v>452</v>
      </c>
      <c r="B419" s="1">
        <v>46201</v>
      </c>
      <c r="C419" t="s">
        <v>13</v>
      </c>
      <c r="D419" t="s">
        <v>47</v>
      </c>
      <c r="E419" t="s">
        <v>15</v>
      </c>
      <c r="F419" t="s">
        <v>43</v>
      </c>
      <c r="G419">
        <v>6</v>
      </c>
      <c r="H419" t="s">
        <v>17</v>
      </c>
      <c r="I419">
        <v>26000</v>
      </c>
      <c r="J419">
        <v>0.1</v>
      </c>
      <c r="K419">
        <v>140400</v>
      </c>
      <c r="L419" s="2">
        <v>46174</v>
      </c>
    </row>
    <row r="420" spans="1:12" x14ac:dyDescent="0.25">
      <c r="A420" t="s">
        <v>453</v>
      </c>
      <c r="B420" s="1">
        <v>46202</v>
      </c>
      <c r="C420" t="s">
        <v>32</v>
      </c>
      <c r="D420" t="s">
        <v>14</v>
      </c>
      <c r="E420" t="s">
        <v>15</v>
      </c>
      <c r="F420" t="s">
        <v>33</v>
      </c>
      <c r="G420">
        <v>3</v>
      </c>
      <c r="H420" t="s">
        <v>27</v>
      </c>
      <c r="I420">
        <v>1900</v>
      </c>
      <c r="J420">
        <v>0</v>
      </c>
      <c r="K420">
        <v>5700</v>
      </c>
      <c r="L420" s="2">
        <v>46174</v>
      </c>
    </row>
    <row r="421" spans="1:12" x14ac:dyDescent="0.25">
      <c r="A421" t="s">
        <v>454</v>
      </c>
      <c r="B421" s="1">
        <v>46202</v>
      </c>
      <c r="C421" t="s">
        <v>19</v>
      </c>
      <c r="D421" t="s">
        <v>29</v>
      </c>
      <c r="E421" t="s">
        <v>15</v>
      </c>
      <c r="F421" t="s">
        <v>33</v>
      </c>
      <c r="G421">
        <v>5</v>
      </c>
      <c r="H421" t="s">
        <v>23</v>
      </c>
      <c r="I421">
        <v>12500</v>
      </c>
      <c r="J421">
        <v>0</v>
      </c>
      <c r="K421">
        <v>62500</v>
      </c>
      <c r="L421" s="2">
        <v>46174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233A4-CB1A-4404-B500-027A983FE92B}">
  <dimension ref="A1:M37"/>
  <sheetViews>
    <sheetView topLeftCell="A10" zoomScaleNormal="100" workbookViewId="0">
      <selection activeCell="D36" sqref="D36"/>
    </sheetView>
  </sheetViews>
  <sheetFormatPr defaultColWidth="18.09765625" defaultRowHeight="13.8" x14ac:dyDescent="0.25"/>
  <cols>
    <col min="1" max="1" width="29.09765625" customWidth="1"/>
    <col min="2" max="2" width="15" customWidth="1"/>
    <col min="4" max="4" width="12.59765625" bestFit="1" customWidth="1"/>
    <col min="5" max="5" width="15.19921875" bestFit="1" customWidth="1"/>
    <col min="7" max="7" width="12.59765625" bestFit="1" customWidth="1"/>
    <col min="8" max="8" width="15.19921875" bestFit="1" customWidth="1"/>
  </cols>
  <sheetData>
    <row r="1" spans="1:13" ht="14.4" customHeight="1" x14ac:dyDescent="0.25">
      <c r="A1" s="14" t="s">
        <v>466</v>
      </c>
      <c r="B1" s="14"/>
      <c r="C1" s="14"/>
      <c r="D1" s="14"/>
      <c r="E1" s="14"/>
      <c r="F1" s="14"/>
      <c r="G1" s="14"/>
      <c r="H1" s="14"/>
      <c r="I1" s="14"/>
      <c r="J1" s="15"/>
      <c r="K1" s="15"/>
      <c r="L1" s="15"/>
      <c r="M1" s="15"/>
    </row>
    <row r="2" spans="1:13" x14ac:dyDescent="0.25">
      <c r="A2" s="14"/>
      <c r="B2" s="14"/>
      <c r="C2" s="14"/>
      <c r="D2" s="14"/>
      <c r="E2" s="14"/>
      <c r="F2" s="14"/>
      <c r="G2" s="14"/>
      <c r="H2" s="14"/>
      <c r="I2" s="14"/>
      <c r="J2" s="15"/>
      <c r="K2" s="15"/>
      <c r="L2" s="15"/>
      <c r="M2" s="15"/>
    </row>
    <row r="3" spans="1:13" x14ac:dyDescent="0.25">
      <c r="A3" s="14"/>
      <c r="B3" s="14"/>
      <c r="C3" s="14"/>
      <c r="D3" s="14"/>
      <c r="E3" s="14"/>
      <c r="F3" s="14"/>
      <c r="G3" s="14"/>
      <c r="H3" s="14"/>
      <c r="I3" s="14"/>
      <c r="J3" s="15"/>
      <c r="K3" s="15"/>
      <c r="L3" s="15"/>
      <c r="M3" s="15"/>
    </row>
    <row r="5" spans="1:13" ht="15" x14ac:dyDescent="0.25">
      <c r="A5" s="3" t="s">
        <v>455</v>
      </c>
      <c r="B5" s="3" t="s">
        <v>456</v>
      </c>
      <c r="D5" s="5" t="s">
        <v>461</v>
      </c>
      <c r="E5" t="s">
        <v>463</v>
      </c>
      <c r="G5" s="5" t="s">
        <v>461</v>
      </c>
      <c r="H5" t="s">
        <v>463</v>
      </c>
    </row>
    <row r="6" spans="1:13" x14ac:dyDescent="0.25">
      <c r="A6" t="s">
        <v>457</v>
      </c>
      <c r="B6" s="4">
        <f>SUM(Dataset!K2:K421)</f>
        <v>21574592.5</v>
      </c>
      <c r="D6" s="6" t="s">
        <v>38</v>
      </c>
      <c r="E6" s="4">
        <v>11771100</v>
      </c>
      <c r="G6" s="6" t="s">
        <v>17</v>
      </c>
      <c r="H6" s="4">
        <v>16718525</v>
      </c>
    </row>
    <row r="7" spans="1:13" x14ac:dyDescent="0.25">
      <c r="A7" t="s">
        <v>458</v>
      </c>
      <c r="B7">
        <f>COUNTA(Dataset!A2:A421)</f>
        <v>420</v>
      </c>
      <c r="D7" s="6" t="s">
        <v>13</v>
      </c>
      <c r="E7" s="4">
        <v>2707900</v>
      </c>
      <c r="G7" s="6" t="s">
        <v>23</v>
      </c>
      <c r="H7" s="4">
        <v>3849970</v>
      </c>
    </row>
    <row r="8" spans="1:13" x14ac:dyDescent="0.25">
      <c r="A8" t="s">
        <v>459</v>
      </c>
      <c r="B8">
        <f>SUM(Dataset!G2:G421)</f>
        <v>1484</v>
      </c>
      <c r="D8" s="6" t="s">
        <v>42</v>
      </c>
      <c r="E8" s="4">
        <v>2239525</v>
      </c>
      <c r="G8" s="6" t="s">
        <v>27</v>
      </c>
      <c r="H8" s="4">
        <v>1006097.5</v>
      </c>
    </row>
    <row r="9" spans="1:13" x14ac:dyDescent="0.25">
      <c r="A9" t="s">
        <v>460</v>
      </c>
      <c r="B9" s="4">
        <f>AVERAGE(Dataset!K2:K421)</f>
        <v>51368.077380952382</v>
      </c>
      <c r="D9" s="6" t="s">
        <v>19</v>
      </c>
      <c r="E9" s="4">
        <v>1983750</v>
      </c>
      <c r="G9" s="6" t="s">
        <v>462</v>
      </c>
      <c r="H9" s="4">
        <v>21574592.5</v>
      </c>
    </row>
    <row r="10" spans="1:13" x14ac:dyDescent="0.25">
      <c r="A10" t="s">
        <v>464</v>
      </c>
      <c r="B10" s="7" t="s">
        <v>38</v>
      </c>
      <c r="D10" s="6" t="s">
        <v>36</v>
      </c>
      <c r="E10" s="4">
        <v>1866220</v>
      </c>
    </row>
    <row r="11" spans="1:13" x14ac:dyDescent="0.25">
      <c r="A11" t="s">
        <v>465</v>
      </c>
      <c r="B11" s="7" t="s">
        <v>17</v>
      </c>
      <c r="D11" s="6" t="s">
        <v>25</v>
      </c>
      <c r="E11" s="4">
        <v>492940</v>
      </c>
      <c r="G11" s="5" t="s">
        <v>461</v>
      </c>
      <c r="H11" t="s">
        <v>463</v>
      </c>
    </row>
    <row r="12" spans="1:13" x14ac:dyDescent="0.25">
      <c r="A12" t="s">
        <v>467</v>
      </c>
      <c r="B12" s="4">
        <f>(GETPIVOTDATA("Revenue",$G$5,"Category","Electronics")/B6)*100</f>
        <v>77.4917301450769</v>
      </c>
      <c r="D12" s="6" t="s">
        <v>32</v>
      </c>
      <c r="E12" s="4">
        <v>324330</v>
      </c>
      <c r="G12" s="6" t="s">
        <v>20</v>
      </c>
      <c r="H12" s="4">
        <v>6230462.5</v>
      </c>
    </row>
    <row r="13" spans="1:13" x14ac:dyDescent="0.25">
      <c r="A13" t="s">
        <v>468</v>
      </c>
      <c r="B13" s="7" t="s">
        <v>20</v>
      </c>
      <c r="D13" s="6" t="s">
        <v>46</v>
      </c>
      <c r="E13" s="4">
        <v>188827.5</v>
      </c>
      <c r="G13" s="6" t="s">
        <v>14</v>
      </c>
      <c r="H13" s="4">
        <v>6146122.5</v>
      </c>
    </row>
    <row r="14" spans="1:13" x14ac:dyDescent="0.25">
      <c r="A14" t="s">
        <v>469</v>
      </c>
      <c r="B14" s="4">
        <f>(GETPIVOTDATA("Revenue",$G$11,"Region","North")/B6)*100</f>
        <v>28.878703039234694</v>
      </c>
      <c r="D14" s="6" t="s">
        <v>462</v>
      </c>
      <c r="E14" s="4">
        <v>21574592.5</v>
      </c>
      <c r="G14" s="6" t="s">
        <v>47</v>
      </c>
      <c r="H14" s="4">
        <v>5438250</v>
      </c>
    </row>
    <row r="15" spans="1:13" x14ac:dyDescent="0.25">
      <c r="A15" t="s">
        <v>470</v>
      </c>
      <c r="B15" s="7" t="s">
        <v>15</v>
      </c>
      <c r="G15" s="6" t="s">
        <v>29</v>
      </c>
      <c r="H15" s="4">
        <v>3759757.5</v>
      </c>
    </row>
    <row r="16" spans="1:13" x14ac:dyDescent="0.25">
      <c r="A16" t="s">
        <v>472</v>
      </c>
      <c r="B16" s="2">
        <v>45962</v>
      </c>
      <c r="G16" s="6" t="s">
        <v>462</v>
      </c>
      <c r="H16" s="4">
        <v>21574592.5</v>
      </c>
    </row>
    <row r="18" spans="1:8" ht="15" x14ac:dyDescent="0.25">
      <c r="A18" s="16" t="s">
        <v>471</v>
      </c>
      <c r="B18" s="16"/>
      <c r="G18" s="5" t="s">
        <v>461</v>
      </c>
      <c r="H18" t="s">
        <v>463</v>
      </c>
    </row>
    <row r="19" spans="1:8" x14ac:dyDescent="0.25">
      <c r="A19" s="10">
        <v>45658</v>
      </c>
      <c r="B19" s="11">
        <f>SUMIF(Dataset!L2:L421,Analysis!$A19,Dataset!K2:K421)</f>
        <v>839380</v>
      </c>
      <c r="G19" s="6" t="s">
        <v>15</v>
      </c>
      <c r="H19" s="4">
        <v>14125437.5</v>
      </c>
    </row>
    <row r="20" spans="1:8" x14ac:dyDescent="0.25">
      <c r="A20" s="10">
        <v>45689</v>
      </c>
      <c r="B20" s="11">
        <f>SUMIF(Dataset!L3:L422,Analysis!$A20,Dataset!K3:K422)</f>
        <v>1086050</v>
      </c>
      <c r="G20" s="6" t="s">
        <v>21</v>
      </c>
      <c r="H20" s="4">
        <v>7449155</v>
      </c>
    </row>
    <row r="21" spans="1:8" x14ac:dyDescent="0.25">
      <c r="A21" s="10">
        <v>45717</v>
      </c>
      <c r="B21" s="11">
        <f>SUMIF(Dataset!L4:L423,Analysis!$A21,Dataset!K4:K423)</f>
        <v>1667882.5</v>
      </c>
      <c r="G21" s="6" t="s">
        <v>462</v>
      </c>
      <c r="H21" s="4">
        <v>21574592.5</v>
      </c>
    </row>
    <row r="22" spans="1:8" x14ac:dyDescent="0.25">
      <c r="A22" s="10">
        <v>45748</v>
      </c>
      <c r="B22" s="11">
        <f>SUMIF(Dataset!L5:L424,Analysis!$A22,Dataset!K5:K424)</f>
        <v>1481695</v>
      </c>
    </row>
    <row r="23" spans="1:8" x14ac:dyDescent="0.25">
      <c r="A23" s="10">
        <v>45778</v>
      </c>
      <c r="B23" s="11">
        <f>SUMIF(Dataset!L6:L425,Analysis!$A23,Dataset!K6:K425)</f>
        <v>677430</v>
      </c>
    </row>
    <row r="24" spans="1:8" x14ac:dyDescent="0.25">
      <c r="A24" s="10">
        <v>45809</v>
      </c>
      <c r="B24" s="11">
        <f>SUMIF(Dataset!L7:L426,Analysis!$A24,Dataset!K7:K426)</f>
        <v>1388460</v>
      </c>
    </row>
    <row r="25" spans="1:8" x14ac:dyDescent="0.25">
      <c r="A25" s="10">
        <v>45839</v>
      </c>
      <c r="B25" s="11">
        <f>SUMIF(Dataset!L8:L427,Analysis!$A25,Dataset!K8:K427)</f>
        <v>869435</v>
      </c>
      <c r="E25" s="4"/>
    </row>
    <row r="26" spans="1:8" x14ac:dyDescent="0.25">
      <c r="A26" s="10">
        <v>45870</v>
      </c>
      <c r="B26" s="11">
        <f>SUMIF(Dataset!L9:L428,Analysis!$A26,Dataset!K9:K428)</f>
        <v>1144485</v>
      </c>
    </row>
    <row r="27" spans="1:8" x14ac:dyDescent="0.25">
      <c r="A27" s="10">
        <v>45901</v>
      </c>
      <c r="B27" s="11">
        <f>SUMIF(Dataset!L10:L429,Analysis!$A27,Dataset!K10:K429)</f>
        <v>1283345</v>
      </c>
    </row>
    <row r="28" spans="1:8" x14ac:dyDescent="0.25">
      <c r="A28" s="10">
        <v>45931</v>
      </c>
      <c r="B28" s="11">
        <f>SUMIF(Dataset!L11:L430,Analysis!$A28,Dataset!K11:K430)</f>
        <v>1423987.5</v>
      </c>
    </row>
    <row r="29" spans="1:8" x14ac:dyDescent="0.25">
      <c r="A29" s="10">
        <v>45962</v>
      </c>
      <c r="B29" s="11">
        <f>SUMIF(Dataset!L12:L431,Analysis!$A29,Dataset!K12:K431)</f>
        <v>1847780</v>
      </c>
    </row>
    <row r="30" spans="1:8" x14ac:dyDescent="0.25">
      <c r="A30" s="10">
        <v>45992</v>
      </c>
      <c r="B30" s="11">
        <f>SUMIF(Dataset!L13:L432,Analysis!$A30,Dataset!K13:K432)</f>
        <v>1231547.5</v>
      </c>
    </row>
    <row r="31" spans="1:8" x14ac:dyDescent="0.25">
      <c r="A31" s="10">
        <v>46023</v>
      </c>
      <c r="B31" s="11">
        <f>SUMIF(Dataset!L14:L433,Analysis!$A31,Dataset!K14:K433)</f>
        <v>939220</v>
      </c>
    </row>
    <row r="32" spans="1:8" x14ac:dyDescent="0.25">
      <c r="A32" s="10">
        <v>46054</v>
      </c>
      <c r="B32" s="11">
        <f>SUMIF(Dataset!L15:L434,Analysis!$A32,Dataset!K15:K434)</f>
        <v>1056920</v>
      </c>
    </row>
    <row r="33" spans="1:2" x14ac:dyDescent="0.25">
      <c r="A33" s="10">
        <v>46082</v>
      </c>
      <c r="B33" s="11">
        <f>SUMIF(Dataset!L16:L435,Analysis!$A33,Dataset!K16:K435)</f>
        <v>1175567.5</v>
      </c>
    </row>
    <row r="34" spans="1:2" x14ac:dyDescent="0.25">
      <c r="A34" s="10">
        <v>46113</v>
      </c>
      <c r="B34" s="11">
        <f>SUMIF(Dataset!L17:L436,Analysis!$A34,Dataset!K17:K436)</f>
        <v>1078382.5</v>
      </c>
    </row>
    <row r="35" spans="1:2" x14ac:dyDescent="0.25">
      <c r="A35" s="10">
        <v>46143</v>
      </c>
      <c r="B35" s="11">
        <f>SUMIF(Dataset!L18:L437,Analysis!$A35,Dataset!K18:K437)</f>
        <v>1396645</v>
      </c>
    </row>
    <row r="36" spans="1:2" x14ac:dyDescent="0.25">
      <c r="A36" s="10">
        <v>46174</v>
      </c>
      <c r="B36" s="11">
        <f>SUMIF(Dataset!L19:L438,Analysis!$A36,Dataset!K19:K438)</f>
        <v>986380</v>
      </c>
    </row>
    <row r="37" spans="1:2" x14ac:dyDescent="0.25">
      <c r="A37" s="8" t="s">
        <v>457</v>
      </c>
      <c r="B37" s="9">
        <f>SUM(B19:B36)</f>
        <v>21574592.5</v>
      </c>
    </row>
  </sheetData>
  <mergeCells count="3">
    <mergeCell ref="A1:I3"/>
    <mergeCell ref="J1:M3"/>
    <mergeCell ref="A18:B18"/>
  </mergeCells>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5F4CC-B36E-48C6-9ACC-CDAD1DE9A059}">
  <dimension ref="A3:B12"/>
  <sheetViews>
    <sheetView workbookViewId="0">
      <selection activeCell="D36" sqref="D36"/>
    </sheetView>
  </sheetViews>
  <sheetFormatPr defaultRowHeight="13.8" x14ac:dyDescent="0.25"/>
  <cols>
    <col min="1" max="1" width="12.59765625" bestFit="1" customWidth="1"/>
    <col min="2" max="2" width="15.19921875" bestFit="1" customWidth="1"/>
  </cols>
  <sheetData>
    <row r="3" spans="1:2" x14ac:dyDescent="0.25">
      <c r="A3" s="5" t="s">
        <v>461</v>
      </c>
      <c r="B3" t="s">
        <v>463</v>
      </c>
    </row>
    <row r="4" spans="1:2" x14ac:dyDescent="0.25">
      <c r="A4" s="6" t="s">
        <v>38</v>
      </c>
      <c r="B4" s="4">
        <v>11771100</v>
      </c>
    </row>
    <row r="5" spans="1:2" x14ac:dyDescent="0.25">
      <c r="A5" s="6" t="s">
        <v>13</v>
      </c>
      <c r="B5" s="4">
        <v>2707900</v>
      </c>
    </row>
    <row r="6" spans="1:2" x14ac:dyDescent="0.25">
      <c r="A6" s="6" t="s">
        <v>42</v>
      </c>
      <c r="B6" s="4">
        <v>2239525</v>
      </c>
    </row>
    <row r="7" spans="1:2" x14ac:dyDescent="0.25">
      <c r="A7" s="6" t="s">
        <v>19</v>
      </c>
      <c r="B7" s="4">
        <v>1983750</v>
      </c>
    </row>
    <row r="8" spans="1:2" x14ac:dyDescent="0.25">
      <c r="A8" s="6" t="s">
        <v>36</v>
      </c>
      <c r="B8" s="4">
        <v>1866220</v>
      </c>
    </row>
    <row r="9" spans="1:2" x14ac:dyDescent="0.25">
      <c r="A9" s="6" t="s">
        <v>25</v>
      </c>
      <c r="B9" s="4">
        <v>492940</v>
      </c>
    </row>
    <row r="10" spans="1:2" x14ac:dyDescent="0.25">
      <c r="A10" s="6" t="s">
        <v>32</v>
      </c>
      <c r="B10" s="4">
        <v>324330</v>
      </c>
    </row>
    <row r="11" spans="1:2" x14ac:dyDescent="0.25">
      <c r="A11" s="6" t="s">
        <v>46</v>
      </c>
      <c r="B11" s="4">
        <v>188827.5</v>
      </c>
    </row>
    <row r="12" spans="1:2" x14ac:dyDescent="0.25">
      <c r="A12" s="6" t="s">
        <v>462</v>
      </c>
      <c r="B12" s="17">
        <v>21574592.5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607B2-D982-4300-B0EC-60A036C328D8}">
  <dimension ref="A3:B7"/>
  <sheetViews>
    <sheetView workbookViewId="0">
      <selection activeCell="D36" sqref="D36"/>
    </sheetView>
  </sheetViews>
  <sheetFormatPr defaultRowHeight="13.8" x14ac:dyDescent="0.25"/>
  <cols>
    <col min="1" max="1" width="12.59765625" bestFit="1" customWidth="1"/>
    <col min="2" max="2" width="15.19921875" bestFit="1" customWidth="1"/>
  </cols>
  <sheetData>
    <row r="3" spans="1:2" x14ac:dyDescent="0.25">
      <c r="A3" s="5" t="s">
        <v>461</v>
      </c>
      <c r="B3" t="s">
        <v>463</v>
      </c>
    </row>
    <row r="4" spans="1:2" x14ac:dyDescent="0.25">
      <c r="A4" s="6" t="s">
        <v>17</v>
      </c>
      <c r="B4" s="4">
        <v>16718525</v>
      </c>
    </row>
    <row r="5" spans="1:2" x14ac:dyDescent="0.25">
      <c r="A5" s="6" t="s">
        <v>23</v>
      </c>
      <c r="B5" s="4">
        <v>3849970</v>
      </c>
    </row>
    <row r="6" spans="1:2" x14ac:dyDescent="0.25">
      <c r="A6" s="6" t="s">
        <v>27</v>
      </c>
      <c r="B6" s="4">
        <v>1006097.5</v>
      </c>
    </row>
    <row r="7" spans="1:2" x14ac:dyDescent="0.25">
      <c r="A7" s="6" t="s">
        <v>462</v>
      </c>
      <c r="B7" s="4">
        <v>21574592.5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44C43-42EB-481E-963A-F79D0D5040C7}">
  <dimension ref="A3:B8"/>
  <sheetViews>
    <sheetView workbookViewId="0">
      <selection activeCell="D36" sqref="D36"/>
    </sheetView>
  </sheetViews>
  <sheetFormatPr defaultRowHeight="13.8" x14ac:dyDescent="0.25"/>
  <cols>
    <col min="1" max="1" width="12.59765625" bestFit="1" customWidth="1"/>
    <col min="2" max="2" width="15.19921875" bestFit="1" customWidth="1"/>
  </cols>
  <sheetData>
    <row r="3" spans="1:2" x14ac:dyDescent="0.25">
      <c r="A3" s="5" t="s">
        <v>461</v>
      </c>
      <c r="B3" t="s">
        <v>463</v>
      </c>
    </row>
    <row r="4" spans="1:2" x14ac:dyDescent="0.25">
      <c r="A4" s="6" t="s">
        <v>29</v>
      </c>
      <c r="B4" s="17">
        <v>3759757.5</v>
      </c>
    </row>
    <row r="5" spans="1:2" x14ac:dyDescent="0.25">
      <c r="A5" s="6" t="s">
        <v>20</v>
      </c>
      <c r="B5" s="17">
        <v>6230462.5</v>
      </c>
    </row>
    <row r="6" spans="1:2" x14ac:dyDescent="0.25">
      <c r="A6" s="6" t="s">
        <v>47</v>
      </c>
      <c r="B6" s="17">
        <v>5438250</v>
      </c>
    </row>
    <row r="7" spans="1:2" x14ac:dyDescent="0.25">
      <c r="A7" s="6" t="s">
        <v>14</v>
      </c>
      <c r="B7" s="17">
        <v>6146122.5</v>
      </c>
    </row>
    <row r="8" spans="1:2" x14ac:dyDescent="0.25">
      <c r="A8" s="6" t="s">
        <v>462</v>
      </c>
      <c r="B8" s="17">
        <v>21574592.5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00531-DF1B-4546-BD00-AEBA0D638FD3}">
  <dimension ref="A3:B6"/>
  <sheetViews>
    <sheetView workbookViewId="0">
      <selection activeCell="D36" sqref="D36"/>
    </sheetView>
  </sheetViews>
  <sheetFormatPr defaultRowHeight="13.8" x14ac:dyDescent="0.25"/>
  <cols>
    <col min="1" max="1" width="12.59765625" bestFit="1" customWidth="1"/>
    <col min="2" max="2" width="15.19921875" bestFit="1" customWidth="1"/>
  </cols>
  <sheetData>
    <row r="3" spans="1:2" x14ac:dyDescent="0.25">
      <c r="A3" s="5" t="s">
        <v>461</v>
      </c>
      <c r="B3" t="s">
        <v>463</v>
      </c>
    </row>
    <row r="4" spans="1:2" x14ac:dyDescent="0.25">
      <c r="A4" s="6" t="s">
        <v>15</v>
      </c>
      <c r="B4" s="4">
        <v>14125437.5</v>
      </c>
    </row>
    <row r="5" spans="1:2" x14ac:dyDescent="0.25">
      <c r="A5" s="6" t="s">
        <v>21</v>
      </c>
      <c r="B5" s="4">
        <v>7449155</v>
      </c>
    </row>
    <row r="6" spans="1:2" x14ac:dyDescent="0.25">
      <c r="A6" s="6" t="s">
        <v>462</v>
      </c>
      <c r="B6" s="4">
        <v>21574592.5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BD1EE-D6EA-4A8E-885D-EE055FCA5F05}">
  <dimension ref="A3:B34"/>
  <sheetViews>
    <sheetView workbookViewId="0">
      <selection activeCell="D36" sqref="D36"/>
    </sheetView>
  </sheetViews>
  <sheetFormatPr defaultRowHeight="13.8" x14ac:dyDescent="0.25"/>
  <cols>
    <col min="1" max="1" width="12.59765625" bestFit="1" customWidth="1"/>
    <col min="2" max="2" width="15.19921875" bestFit="1" customWidth="1"/>
  </cols>
  <sheetData>
    <row r="3" spans="1:2" x14ac:dyDescent="0.25">
      <c r="A3" s="5" t="s">
        <v>461</v>
      </c>
      <c r="B3" t="s">
        <v>463</v>
      </c>
    </row>
    <row r="4" spans="1:2" x14ac:dyDescent="0.25">
      <c r="A4" s="6" t="s">
        <v>474</v>
      </c>
      <c r="B4" s="17"/>
    </row>
    <row r="5" spans="1:2" x14ac:dyDescent="0.25">
      <c r="A5" s="12" t="s">
        <v>486</v>
      </c>
      <c r="B5" s="17">
        <v>839380</v>
      </c>
    </row>
    <row r="6" spans="1:2" x14ac:dyDescent="0.25">
      <c r="A6" s="12" t="s">
        <v>487</v>
      </c>
      <c r="B6" s="17">
        <v>939220</v>
      </c>
    </row>
    <row r="7" spans="1:2" x14ac:dyDescent="0.25">
      <c r="A7" s="6" t="s">
        <v>475</v>
      </c>
      <c r="B7" s="17"/>
    </row>
    <row r="8" spans="1:2" x14ac:dyDescent="0.25">
      <c r="A8" s="12" t="s">
        <v>486</v>
      </c>
      <c r="B8" s="17">
        <v>1086050</v>
      </c>
    </row>
    <row r="9" spans="1:2" x14ac:dyDescent="0.25">
      <c r="A9" s="12" t="s">
        <v>487</v>
      </c>
      <c r="B9" s="17">
        <v>1056920</v>
      </c>
    </row>
    <row r="10" spans="1:2" x14ac:dyDescent="0.25">
      <c r="A10" s="6" t="s">
        <v>476</v>
      </c>
      <c r="B10" s="17"/>
    </row>
    <row r="11" spans="1:2" x14ac:dyDescent="0.25">
      <c r="A11" s="12" t="s">
        <v>486</v>
      </c>
      <c r="B11" s="17">
        <v>1667882.5</v>
      </c>
    </row>
    <row r="12" spans="1:2" x14ac:dyDescent="0.25">
      <c r="A12" s="12" t="s">
        <v>487</v>
      </c>
      <c r="B12" s="17">
        <v>1175567.5</v>
      </c>
    </row>
    <row r="13" spans="1:2" x14ac:dyDescent="0.25">
      <c r="A13" s="6" t="s">
        <v>477</v>
      </c>
      <c r="B13" s="17"/>
    </row>
    <row r="14" spans="1:2" x14ac:dyDescent="0.25">
      <c r="A14" s="12" t="s">
        <v>486</v>
      </c>
      <c r="B14" s="17">
        <v>1481695</v>
      </c>
    </row>
    <row r="15" spans="1:2" x14ac:dyDescent="0.25">
      <c r="A15" s="12" t="s">
        <v>487</v>
      </c>
      <c r="B15" s="17">
        <v>1078382.5</v>
      </c>
    </row>
    <row r="16" spans="1:2" x14ac:dyDescent="0.25">
      <c r="A16" s="6" t="s">
        <v>478</v>
      </c>
      <c r="B16" s="17"/>
    </row>
    <row r="17" spans="1:2" x14ac:dyDescent="0.25">
      <c r="A17" s="12" t="s">
        <v>486</v>
      </c>
      <c r="B17" s="17">
        <v>677430</v>
      </c>
    </row>
    <row r="18" spans="1:2" x14ac:dyDescent="0.25">
      <c r="A18" s="12" t="s">
        <v>487</v>
      </c>
      <c r="B18" s="17">
        <v>1396645</v>
      </c>
    </row>
    <row r="19" spans="1:2" x14ac:dyDescent="0.25">
      <c r="A19" s="6" t="s">
        <v>479</v>
      </c>
      <c r="B19" s="17"/>
    </row>
    <row r="20" spans="1:2" x14ac:dyDescent="0.25">
      <c r="A20" s="12" t="s">
        <v>486</v>
      </c>
      <c r="B20" s="17">
        <v>1388460</v>
      </c>
    </row>
    <row r="21" spans="1:2" x14ac:dyDescent="0.25">
      <c r="A21" s="12" t="s">
        <v>487</v>
      </c>
      <c r="B21" s="17">
        <v>986380</v>
      </c>
    </row>
    <row r="22" spans="1:2" x14ac:dyDescent="0.25">
      <c r="A22" s="6" t="s">
        <v>480</v>
      </c>
      <c r="B22" s="17"/>
    </row>
    <row r="23" spans="1:2" x14ac:dyDescent="0.25">
      <c r="A23" s="12" t="s">
        <v>486</v>
      </c>
      <c r="B23" s="17">
        <v>869435</v>
      </c>
    </row>
    <row r="24" spans="1:2" x14ac:dyDescent="0.25">
      <c r="A24" s="6" t="s">
        <v>481</v>
      </c>
      <c r="B24" s="17"/>
    </row>
    <row r="25" spans="1:2" x14ac:dyDescent="0.25">
      <c r="A25" s="12" t="s">
        <v>486</v>
      </c>
      <c r="B25" s="17">
        <v>1144485</v>
      </c>
    </row>
    <row r="26" spans="1:2" x14ac:dyDescent="0.25">
      <c r="A26" s="6" t="s">
        <v>482</v>
      </c>
      <c r="B26" s="17"/>
    </row>
    <row r="27" spans="1:2" x14ac:dyDescent="0.25">
      <c r="A27" s="12" t="s">
        <v>486</v>
      </c>
      <c r="B27" s="17">
        <v>1283345</v>
      </c>
    </row>
    <row r="28" spans="1:2" x14ac:dyDescent="0.25">
      <c r="A28" s="6" t="s">
        <v>483</v>
      </c>
      <c r="B28" s="17"/>
    </row>
    <row r="29" spans="1:2" x14ac:dyDescent="0.25">
      <c r="A29" s="12" t="s">
        <v>486</v>
      </c>
      <c r="B29" s="17">
        <v>1423987.5</v>
      </c>
    </row>
    <row r="30" spans="1:2" x14ac:dyDescent="0.25">
      <c r="A30" s="6" t="s">
        <v>484</v>
      </c>
      <c r="B30" s="17"/>
    </row>
    <row r="31" spans="1:2" x14ac:dyDescent="0.25">
      <c r="A31" s="12" t="s">
        <v>486</v>
      </c>
      <c r="B31" s="17">
        <v>1847780</v>
      </c>
    </row>
    <row r="32" spans="1:2" x14ac:dyDescent="0.25">
      <c r="A32" s="6" t="s">
        <v>485</v>
      </c>
      <c r="B32" s="17"/>
    </row>
    <row r="33" spans="1:2" x14ac:dyDescent="0.25">
      <c r="A33" s="12" t="s">
        <v>486</v>
      </c>
      <c r="B33" s="17">
        <v>1231547.5</v>
      </c>
    </row>
    <row r="34" spans="1:2" x14ac:dyDescent="0.25">
      <c r="A34" s="6" t="s">
        <v>462</v>
      </c>
      <c r="B34" s="17">
        <v>21574592.5</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FA76-3425-4000-B2EE-519383DA506B}">
  <dimension ref="A1:X3"/>
  <sheetViews>
    <sheetView showGridLines="0" tabSelected="1" zoomScale="91" zoomScaleNormal="91" workbookViewId="0">
      <selection activeCell="N25" sqref="N25"/>
    </sheetView>
  </sheetViews>
  <sheetFormatPr defaultRowHeight="13.8" x14ac:dyDescent="0.25"/>
  <sheetData>
    <row r="1" spans="1:24" x14ac:dyDescent="0.25">
      <c r="A1" s="13" t="s">
        <v>473</v>
      </c>
      <c r="B1" s="13"/>
      <c r="C1" s="13"/>
      <c r="D1" s="13"/>
      <c r="E1" s="13"/>
      <c r="F1" s="13"/>
      <c r="G1" s="13"/>
      <c r="H1" s="13"/>
      <c r="I1" s="13"/>
      <c r="J1" s="13"/>
      <c r="K1" s="13"/>
      <c r="L1" s="13"/>
      <c r="M1" s="13"/>
      <c r="N1" s="13"/>
      <c r="O1" s="13"/>
      <c r="P1" s="13"/>
      <c r="Q1" s="13"/>
      <c r="R1" s="13"/>
      <c r="S1" s="13"/>
      <c r="T1" s="13"/>
      <c r="U1" s="13"/>
      <c r="V1" s="13"/>
      <c r="W1" s="13"/>
      <c r="X1" s="13"/>
    </row>
    <row r="2" spans="1:24" x14ac:dyDescent="0.25">
      <c r="A2" s="13"/>
      <c r="B2" s="13"/>
      <c r="C2" s="13"/>
      <c r="D2" s="13"/>
      <c r="E2" s="13"/>
      <c r="F2" s="13"/>
      <c r="G2" s="13"/>
      <c r="H2" s="13"/>
      <c r="I2" s="13"/>
      <c r="J2" s="13"/>
      <c r="K2" s="13"/>
      <c r="L2" s="13"/>
      <c r="M2" s="13"/>
      <c r="N2" s="13"/>
      <c r="O2" s="13"/>
      <c r="P2" s="13"/>
      <c r="Q2" s="13"/>
      <c r="R2" s="13"/>
      <c r="S2" s="13"/>
      <c r="T2" s="13"/>
      <c r="U2" s="13"/>
      <c r="V2" s="13"/>
      <c r="W2" s="13"/>
      <c r="X2" s="13"/>
    </row>
    <row r="3" spans="1:24" x14ac:dyDescent="0.25">
      <c r="A3" s="13"/>
      <c r="B3" s="13"/>
      <c r="C3" s="13"/>
      <c r="D3" s="13"/>
      <c r="E3" s="13"/>
      <c r="F3" s="13"/>
      <c r="G3" s="13"/>
      <c r="H3" s="13"/>
      <c r="I3" s="13"/>
      <c r="J3" s="13"/>
      <c r="K3" s="13"/>
      <c r="L3" s="13"/>
      <c r="M3" s="13"/>
      <c r="N3" s="13"/>
      <c r="O3" s="13"/>
      <c r="P3" s="13"/>
      <c r="Q3" s="13"/>
      <c r="R3" s="13"/>
      <c r="S3" s="13"/>
      <c r="T3" s="13"/>
      <c r="U3" s="13"/>
      <c r="V3" s="13"/>
      <c r="W3" s="13"/>
      <c r="X3" s="13"/>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Analysis</vt:lpstr>
      <vt:lpstr>Product vs Revenue</vt:lpstr>
      <vt:lpstr>Category vs Revenue</vt:lpstr>
      <vt:lpstr>Region vs Revenue</vt:lpstr>
      <vt:lpstr>Channel vs Revenue</vt:lpstr>
      <vt:lpstr>Monthly Revenue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dua</dc:creator>
  <cp:lastModifiedBy>shilpa dua</cp:lastModifiedBy>
  <dcterms:created xsi:type="dcterms:W3CDTF">2026-09-10T19:30:22Z</dcterms:created>
  <dcterms:modified xsi:type="dcterms:W3CDTF">2026-09-11T10:21:33Z</dcterms:modified>
</cp:coreProperties>
</file>